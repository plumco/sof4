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huliotin-my.sharepoint.com/personal/rahula_huliot_in/Documents/Desktop/ALL PRICE LIST/PRICE LIST 2026/"/>
    </mc:Choice>
  </mc:AlternateContent>
  <xr:revisionPtr revIDLastSave="22" documentId="8_{3EAF0367-D43D-45E1-8FD1-F1CA865AA899}" xr6:coauthVersionLast="47" xr6:coauthVersionMax="47" xr10:uidLastSave="{BD4C64A0-685C-473F-B42E-0E306D9BDFEF}"/>
  <bookViews>
    <workbookView xWindow="-110" yWindow="-110" windowWidth="19420" windowHeight="10300" activeTab="3" xr2:uid="{00000000-000D-0000-FFFF-FFFF00000000}"/>
  </bookViews>
  <sheets>
    <sheet name="Dash Board" sheetId="3" r:id="rId1"/>
    <sheet name="Sales Order" sheetId="1" r:id="rId2"/>
    <sheet name="Data Validations" sheetId="5" state="hidden" r:id="rId3"/>
    <sheet name="Product Master" sheetId="2" r:id="rId4"/>
  </sheets>
  <definedNames>
    <definedName name="_xlnm._FilterDatabase" localSheetId="3" hidden="1">'Product Master'!$A$1:$J$1469</definedName>
    <definedName name="_xlnm._FilterDatabase" localSheetId="1" hidden="1">'Sales Order'!$A$23:$O$24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9" i="1" l="1"/>
  <c r="I99" i="1"/>
  <c r="H99" i="1"/>
  <c r="F99" i="1"/>
  <c r="E99" i="1"/>
  <c r="D99" i="1"/>
  <c r="C99" i="1"/>
  <c r="O98" i="1"/>
  <c r="I98" i="1"/>
  <c r="H98" i="1"/>
  <c r="F98" i="1"/>
  <c r="E98" i="1"/>
  <c r="D98" i="1"/>
  <c r="C98" i="1"/>
  <c r="O97" i="1"/>
  <c r="I97" i="1"/>
  <c r="H97" i="1"/>
  <c r="F97" i="1"/>
  <c r="E97" i="1"/>
  <c r="D97" i="1"/>
  <c r="C97" i="1"/>
  <c r="O96" i="1"/>
  <c r="I96" i="1"/>
  <c r="H96" i="1"/>
  <c r="F96" i="1"/>
  <c r="E96" i="1"/>
  <c r="D96" i="1"/>
  <c r="C96" i="1"/>
  <c r="O95" i="1"/>
  <c r="I95" i="1"/>
  <c r="H95" i="1"/>
  <c r="F95" i="1"/>
  <c r="E95" i="1"/>
  <c r="D95" i="1"/>
  <c r="C95" i="1"/>
  <c r="O94" i="1"/>
  <c r="I94" i="1"/>
  <c r="H94" i="1"/>
  <c r="F94" i="1"/>
  <c r="E94" i="1"/>
  <c r="D94" i="1"/>
  <c r="C94" i="1"/>
  <c r="O93" i="1"/>
  <c r="I93" i="1"/>
  <c r="H93" i="1"/>
  <c r="F93" i="1"/>
  <c r="E93" i="1"/>
  <c r="D93" i="1"/>
  <c r="C93" i="1"/>
  <c r="O92" i="1"/>
  <c r="I92" i="1"/>
  <c r="H92" i="1"/>
  <c r="F92" i="1"/>
  <c r="E92" i="1"/>
  <c r="D92" i="1"/>
  <c r="C92" i="1"/>
  <c r="O91" i="1"/>
  <c r="I91" i="1"/>
  <c r="H91" i="1"/>
  <c r="F91" i="1"/>
  <c r="E91" i="1"/>
  <c r="D91" i="1"/>
  <c r="C91" i="1"/>
  <c r="O90" i="1"/>
  <c r="I90" i="1"/>
  <c r="H90" i="1"/>
  <c r="F90" i="1"/>
  <c r="E90" i="1"/>
  <c r="D90" i="1"/>
  <c r="C90" i="1"/>
  <c r="O89" i="1"/>
  <c r="I89" i="1"/>
  <c r="H89" i="1"/>
  <c r="F89" i="1"/>
  <c r="E89" i="1"/>
  <c r="D89" i="1"/>
  <c r="C89" i="1"/>
  <c r="O88" i="1"/>
  <c r="I88" i="1"/>
  <c r="H88" i="1"/>
  <c r="F88" i="1"/>
  <c r="E88" i="1"/>
  <c r="D88" i="1"/>
  <c r="C88" i="1"/>
  <c r="O87" i="1"/>
  <c r="I87" i="1"/>
  <c r="H87" i="1"/>
  <c r="F87" i="1"/>
  <c r="E87" i="1"/>
  <c r="D87" i="1"/>
  <c r="C87" i="1"/>
  <c r="O86" i="1"/>
  <c r="I86" i="1"/>
  <c r="H86" i="1"/>
  <c r="F86" i="1"/>
  <c r="E86" i="1"/>
  <c r="D86" i="1"/>
  <c r="C86" i="1"/>
  <c r="O85" i="1"/>
  <c r="I85" i="1"/>
  <c r="H85" i="1"/>
  <c r="F85" i="1"/>
  <c r="E85" i="1"/>
  <c r="D85" i="1"/>
  <c r="C85" i="1"/>
  <c r="O84" i="1"/>
  <c r="I84" i="1"/>
  <c r="H84" i="1"/>
  <c r="F84" i="1"/>
  <c r="E84" i="1"/>
  <c r="D84" i="1"/>
  <c r="C84" i="1"/>
  <c r="O83" i="1"/>
  <c r="I83" i="1"/>
  <c r="H83" i="1"/>
  <c r="F83" i="1"/>
  <c r="E83" i="1"/>
  <c r="D83" i="1"/>
  <c r="C83" i="1"/>
  <c r="O82" i="1"/>
  <c r="I82" i="1"/>
  <c r="H82" i="1"/>
  <c r="F82" i="1"/>
  <c r="E82" i="1"/>
  <c r="D82" i="1"/>
  <c r="C82" i="1"/>
  <c r="O81" i="1"/>
  <c r="I81" i="1"/>
  <c r="H81" i="1"/>
  <c r="F81" i="1"/>
  <c r="E81" i="1"/>
  <c r="D81" i="1"/>
  <c r="C81" i="1"/>
  <c r="O80" i="1"/>
  <c r="I80" i="1"/>
  <c r="H80" i="1"/>
  <c r="F80" i="1"/>
  <c r="E80" i="1"/>
  <c r="D80" i="1"/>
  <c r="C80" i="1"/>
  <c r="O79" i="1"/>
  <c r="I79" i="1"/>
  <c r="H79" i="1"/>
  <c r="F79" i="1"/>
  <c r="E79" i="1"/>
  <c r="D79" i="1"/>
  <c r="C79" i="1"/>
  <c r="O78" i="1"/>
  <c r="I78" i="1"/>
  <c r="H78" i="1"/>
  <c r="F78" i="1"/>
  <c r="E78" i="1"/>
  <c r="D78" i="1"/>
  <c r="C78" i="1"/>
  <c r="O77" i="1"/>
  <c r="I77" i="1"/>
  <c r="H77" i="1"/>
  <c r="F77" i="1"/>
  <c r="E77" i="1"/>
  <c r="D77" i="1"/>
  <c r="C77" i="1"/>
  <c r="O76" i="1"/>
  <c r="I76" i="1"/>
  <c r="H76" i="1"/>
  <c r="F76" i="1"/>
  <c r="E76" i="1"/>
  <c r="D76" i="1"/>
  <c r="C76" i="1"/>
  <c r="O75" i="1"/>
  <c r="I75" i="1"/>
  <c r="H75" i="1"/>
  <c r="F75" i="1"/>
  <c r="E75" i="1"/>
  <c r="D75" i="1"/>
  <c r="C75" i="1"/>
  <c r="O74" i="1"/>
  <c r="I74" i="1"/>
  <c r="H74" i="1"/>
  <c r="F74" i="1"/>
  <c r="E74" i="1"/>
  <c r="D74" i="1"/>
  <c r="C74" i="1"/>
  <c r="O73" i="1"/>
  <c r="I73" i="1"/>
  <c r="H73" i="1"/>
  <c r="F73" i="1"/>
  <c r="E73" i="1"/>
  <c r="D73" i="1"/>
  <c r="C73" i="1"/>
  <c r="O72" i="1"/>
  <c r="I72" i="1"/>
  <c r="H72" i="1"/>
  <c r="F72" i="1"/>
  <c r="E72" i="1"/>
  <c r="D72" i="1"/>
  <c r="C72" i="1"/>
  <c r="O71" i="1"/>
  <c r="I71" i="1"/>
  <c r="H71" i="1"/>
  <c r="F71" i="1"/>
  <c r="E71" i="1"/>
  <c r="D71" i="1"/>
  <c r="C71" i="1"/>
  <c r="O70" i="1"/>
  <c r="I70" i="1"/>
  <c r="H70" i="1"/>
  <c r="F70" i="1"/>
  <c r="E70" i="1"/>
  <c r="D70" i="1"/>
  <c r="C70" i="1"/>
  <c r="O69" i="1"/>
  <c r="I69" i="1"/>
  <c r="H69" i="1"/>
  <c r="F69" i="1"/>
  <c r="E69" i="1"/>
  <c r="D69" i="1"/>
  <c r="C69" i="1"/>
  <c r="O68" i="1"/>
  <c r="I68" i="1"/>
  <c r="H68" i="1"/>
  <c r="F68" i="1"/>
  <c r="E68" i="1"/>
  <c r="D68" i="1"/>
  <c r="C68" i="1"/>
  <c r="O67" i="1"/>
  <c r="I67" i="1"/>
  <c r="H67" i="1"/>
  <c r="F67" i="1"/>
  <c r="E67" i="1"/>
  <c r="D67" i="1"/>
  <c r="C67" i="1"/>
  <c r="O66" i="1"/>
  <c r="I66" i="1"/>
  <c r="H66" i="1"/>
  <c r="F66" i="1"/>
  <c r="E66" i="1"/>
  <c r="D66" i="1"/>
  <c r="C66" i="1"/>
  <c r="O65" i="1"/>
  <c r="I65" i="1"/>
  <c r="H65" i="1"/>
  <c r="F65" i="1"/>
  <c r="E65" i="1"/>
  <c r="D65" i="1"/>
  <c r="C65" i="1"/>
  <c r="O64" i="1"/>
  <c r="I64" i="1"/>
  <c r="H64" i="1"/>
  <c r="F64" i="1"/>
  <c r="E64" i="1"/>
  <c r="D64" i="1"/>
  <c r="C64" i="1"/>
  <c r="O63" i="1"/>
  <c r="I63" i="1"/>
  <c r="H63" i="1"/>
  <c r="F63" i="1"/>
  <c r="E63" i="1"/>
  <c r="D63" i="1"/>
  <c r="C63" i="1"/>
  <c r="O62" i="1"/>
  <c r="I62" i="1"/>
  <c r="H62" i="1"/>
  <c r="F62" i="1"/>
  <c r="E62" i="1"/>
  <c r="D62" i="1"/>
  <c r="C62" i="1"/>
  <c r="O61" i="1"/>
  <c r="I61" i="1"/>
  <c r="H61" i="1"/>
  <c r="F61" i="1"/>
  <c r="E61" i="1"/>
  <c r="D61" i="1"/>
  <c r="C61" i="1"/>
  <c r="O60" i="1"/>
  <c r="I60" i="1"/>
  <c r="H60" i="1"/>
  <c r="F60" i="1"/>
  <c r="E60" i="1"/>
  <c r="D60" i="1"/>
  <c r="C60" i="1"/>
  <c r="O59" i="1"/>
  <c r="I59" i="1"/>
  <c r="H59" i="1"/>
  <c r="F59" i="1"/>
  <c r="E59" i="1"/>
  <c r="D59" i="1"/>
  <c r="C59" i="1"/>
  <c r="O58" i="1"/>
  <c r="I58" i="1"/>
  <c r="H58" i="1"/>
  <c r="F58" i="1"/>
  <c r="E58" i="1"/>
  <c r="D58" i="1"/>
  <c r="C58" i="1"/>
  <c r="O57" i="1"/>
  <c r="I57" i="1"/>
  <c r="H57" i="1"/>
  <c r="F57" i="1"/>
  <c r="E57" i="1"/>
  <c r="D57" i="1"/>
  <c r="C57" i="1"/>
  <c r="O56" i="1"/>
  <c r="I56" i="1"/>
  <c r="H56" i="1"/>
  <c r="F56" i="1"/>
  <c r="E56" i="1"/>
  <c r="D56" i="1"/>
  <c r="C56" i="1"/>
  <c r="O55" i="1"/>
  <c r="I55" i="1"/>
  <c r="H55" i="1"/>
  <c r="F55" i="1"/>
  <c r="E55" i="1"/>
  <c r="D55" i="1"/>
  <c r="C55" i="1"/>
  <c r="O54" i="1"/>
  <c r="I54" i="1"/>
  <c r="H54" i="1"/>
  <c r="F54" i="1"/>
  <c r="E54" i="1"/>
  <c r="D54" i="1"/>
  <c r="C54" i="1"/>
  <c r="O53" i="1"/>
  <c r="I53" i="1"/>
  <c r="H53" i="1"/>
  <c r="F53" i="1"/>
  <c r="E53" i="1"/>
  <c r="D53" i="1"/>
  <c r="C53" i="1"/>
  <c r="O52" i="1"/>
  <c r="I52" i="1"/>
  <c r="H52" i="1"/>
  <c r="F52" i="1"/>
  <c r="E52" i="1"/>
  <c r="D52" i="1"/>
  <c r="C52" i="1"/>
  <c r="O51" i="1"/>
  <c r="I51" i="1"/>
  <c r="H51" i="1"/>
  <c r="F51" i="1"/>
  <c r="E51" i="1"/>
  <c r="D51" i="1"/>
  <c r="C51" i="1"/>
  <c r="O50" i="1"/>
  <c r="I50" i="1"/>
  <c r="H50" i="1"/>
  <c r="F50" i="1"/>
  <c r="E50" i="1"/>
  <c r="D50" i="1"/>
  <c r="C50" i="1"/>
  <c r="O49" i="1"/>
  <c r="I49" i="1"/>
  <c r="H49" i="1"/>
  <c r="F49" i="1"/>
  <c r="E49" i="1"/>
  <c r="D49" i="1"/>
  <c r="C49" i="1"/>
  <c r="O48" i="1"/>
  <c r="I48" i="1"/>
  <c r="H48" i="1"/>
  <c r="F48" i="1"/>
  <c r="E48" i="1"/>
  <c r="D48" i="1"/>
  <c r="C48" i="1"/>
  <c r="O47" i="1"/>
  <c r="I47" i="1"/>
  <c r="H47" i="1"/>
  <c r="F47" i="1"/>
  <c r="E47" i="1"/>
  <c r="D47" i="1"/>
  <c r="C47" i="1"/>
  <c r="O46" i="1"/>
  <c r="I46" i="1"/>
  <c r="H46" i="1"/>
  <c r="F46" i="1"/>
  <c r="E46" i="1"/>
  <c r="D46" i="1"/>
  <c r="C46" i="1"/>
  <c r="O45" i="1"/>
  <c r="I45" i="1"/>
  <c r="H45" i="1"/>
  <c r="F45" i="1"/>
  <c r="E45" i="1"/>
  <c r="D45" i="1"/>
  <c r="C45" i="1"/>
  <c r="O44" i="1"/>
  <c r="I44" i="1"/>
  <c r="H44" i="1"/>
  <c r="F44" i="1"/>
  <c r="E44" i="1"/>
  <c r="D44" i="1"/>
  <c r="C44" i="1"/>
  <c r="O43" i="1"/>
  <c r="I43" i="1"/>
  <c r="H43" i="1"/>
  <c r="F43" i="1"/>
  <c r="E43" i="1"/>
  <c r="D43" i="1"/>
  <c r="C43" i="1"/>
  <c r="O42" i="1"/>
  <c r="I42" i="1"/>
  <c r="H42" i="1"/>
  <c r="F42" i="1"/>
  <c r="E42" i="1"/>
  <c r="D42" i="1"/>
  <c r="C42" i="1"/>
  <c r="O41" i="1"/>
  <c r="I41" i="1"/>
  <c r="H41" i="1"/>
  <c r="F41" i="1"/>
  <c r="E41" i="1"/>
  <c r="D41" i="1"/>
  <c r="C41" i="1"/>
  <c r="O40" i="1"/>
  <c r="I40" i="1"/>
  <c r="H40" i="1"/>
  <c r="F40" i="1"/>
  <c r="E40" i="1"/>
  <c r="D40" i="1"/>
  <c r="C40" i="1"/>
  <c r="O39" i="1"/>
  <c r="I39" i="1"/>
  <c r="H39" i="1"/>
  <c r="F39" i="1"/>
  <c r="E39" i="1"/>
  <c r="D39" i="1"/>
  <c r="C39" i="1"/>
  <c r="O38" i="1"/>
  <c r="I38" i="1"/>
  <c r="H38" i="1"/>
  <c r="F38" i="1"/>
  <c r="E38" i="1"/>
  <c r="D38" i="1"/>
  <c r="C38" i="1"/>
  <c r="O37" i="1"/>
  <c r="I37" i="1"/>
  <c r="H37" i="1"/>
  <c r="F37" i="1"/>
  <c r="E37" i="1"/>
  <c r="D37" i="1"/>
  <c r="C37" i="1"/>
  <c r="O36" i="1"/>
  <c r="I36" i="1"/>
  <c r="H36" i="1"/>
  <c r="F36" i="1"/>
  <c r="E36" i="1"/>
  <c r="D36" i="1"/>
  <c r="C36" i="1"/>
  <c r="O35" i="1"/>
  <c r="I35" i="1"/>
  <c r="H35" i="1"/>
  <c r="F35" i="1"/>
  <c r="E35" i="1"/>
  <c r="D35" i="1"/>
  <c r="C35" i="1"/>
  <c r="O34" i="1"/>
  <c r="I34" i="1"/>
  <c r="H34" i="1"/>
  <c r="F34" i="1"/>
  <c r="E34" i="1"/>
  <c r="D34" i="1"/>
  <c r="C34" i="1"/>
  <c r="O33" i="1"/>
  <c r="I33" i="1"/>
  <c r="H33" i="1"/>
  <c r="F33" i="1"/>
  <c r="E33" i="1"/>
  <c r="D33" i="1"/>
  <c r="C33" i="1"/>
  <c r="O32" i="1"/>
  <c r="I32" i="1"/>
  <c r="H32" i="1"/>
  <c r="F32" i="1"/>
  <c r="E32" i="1"/>
  <c r="D32" i="1"/>
  <c r="C32" i="1"/>
  <c r="O31" i="1"/>
  <c r="I31" i="1"/>
  <c r="H31" i="1"/>
  <c r="F31" i="1"/>
  <c r="E31" i="1"/>
  <c r="D31" i="1"/>
  <c r="C31" i="1"/>
  <c r="O30" i="1"/>
  <c r="I30" i="1"/>
  <c r="H30" i="1"/>
  <c r="F30" i="1"/>
  <c r="E30" i="1"/>
  <c r="D30" i="1"/>
  <c r="C30" i="1"/>
  <c r="O29" i="1"/>
  <c r="I29" i="1"/>
  <c r="H29" i="1"/>
  <c r="F29" i="1"/>
  <c r="E29" i="1"/>
  <c r="D29" i="1"/>
  <c r="C29" i="1"/>
  <c r="O28" i="1"/>
  <c r="I28" i="1"/>
  <c r="H28" i="1"/>
  <c r="F28" i="1"/>
  <c r="E28" i="1"/>
  <c r="D28" i="1"/>
  <c r="C28" i="1"/>
  <c r="O27" i="1"/>
  <c r="I27" i="1"/>
  <c r="H27" i="1"/>
  <c r="F27" i="1"/>
  <c r="E27" i="1"/>
  <c r="D27" i="1"/>
  <c r="C27" i="1"/>
  <c r="O26" i="1"/>
  <c r="I26" i="1"/>
  <c r="H26" i="1"/>
  <c r="F26" i="1"/>
  <c r="E26" i="1"/>
  <c r="D26" i="1"/>
  <c r="C26" i="1"/>
  <c r="O25" i="1"/>
  <c r="H25" i="1"/>
  <c r="I25" i="1"/>
  <c r="F25" i="1"/>
  <c r="E25" i="1"/>
  <c r="D25" i="1"/>
  <c r="C25" i="1"/>
  <c r="C17" i="1" l="1"/>
  <c r="N4" i="1"/>
  <c r="B5" i="3"/>
  <c r="C5" i="3" s="1"/>
  <c r="B17" i="3"/>
  <c r="C17" i="3" s="1"/>
  <c r="B18" i="3"/>
  <c r="C18" i="3" s="1"/>
  <c r="K85" i="1" l="1"/>
  <c r="L85" i="1" s="1"/>
  <c r="M85" i="1" s="1"/>
  <c r="K74" i="1"/>
  <c r="L74" i="1" s="1"/>
  <c r="M74" i="1" s="1"/>
  <c r="K57" i="1"/>
  <c r="L57" i="1" s="1"/>
  <c r="M57" i="1" s="1"/>
  <c r="K56" i="1"/>
  <c r="L56" i="1" s="1"/>
  <c r="M56" i="1" s="1"/>
  <c r="K55" i="1"/>
  <c r="L55" i="1" s="1"/>
  <c r="M55" i="1" s="1"/>
  <c r="K38" i="1"/>
  <c r="L38" i="1" s="1"/>
  <c r="M38" i="1" s="1"/>
  <c r="K29" i="1"/>
  <c r="L29" i="1" s="1"/>
  <c r="M29" i="1" s="1"/>
  <c r="K31" i="1"/>
  <c r="L31" i="1" s="1"/>
  <c r="K75" i="1"/>
  <c r="L75" i="1" s="1"/>
  <c r="M75" i="1" s="1"/>
  <c r="K30" i="1"/>
  <c r="L30" i="1" s="1"/>
  <c r="M30" i="1" s="1"/>
  <c r="K99" i="1"/>
  <c r="L99" i="1" s="1"/>
  <c r="M99" i="1" s="1"/>
  <c r="K98" i="1"/>
  <c r="L98" i="1" s="1"/>
  <c r="K84" i="1"/>
  <c r="L84" i="1" s="1"/>
  <c r="M84" i="1" s="1"/>
  <c r="K83" i="1"/>
  <c r="L83" i="1" s="1"/>
  <c r="M83" i="1" s="1"/>
  <c r="K82" i="1"/>
  <c r="L82" i="1" s="1"/>
  <c r="M82" i="1" s="1"/>
  <c r="K65" i="1"/>
  <c r="L65" i="1" s="1"/>
  <c r="M65" i="1" s="1"/>
  <c r="K64" i="1"/>
  <c r="L64" i="1" s="1"/>
  <c r="K63" i="1"/>
  <c r="L63" i="1" s="1"/>
  <c r="M63" i="1" s="1"/>
  <c r="K46" i="1"/>
  <c r="L46" i="1" s="1"/>
  <c r="M46" i="1" s="1"/>
  <c r="K37" i="1"/>
  <c r="L37" i="1" s="1"/>
  <c r="M37" i="1" s="1"/>
  <c r="K28" i="1"/>
  <c r="L28" i="1" s="1"/>
  <c r="M28" i="1" s="1"/>
  <c r="K27" i="1"/>
  <c r="L27" i="1" s="1"/>
  <c r="M27" i="1" s="1"/>
  <c r="K73" i="1"/>
  <c r="L73" i="1" s="1"/>
  <c r="M73" i="1" s="1"/>
  <c r="K72" i="1"/>
  <c r="L72" i="1" s="1"/>
  <c r="M72" i="1" s="1"/>
  <c r="K71" i="1"/>
  <c r="L71" i="1" s="1"/>
  <c r="K54" i="1"/>
  <c r="L54" i="1" s="1"/>
  <c r="M54" i="1" s="1"/>
  <c r="K45" i="1"/>
  <c r="L45" i="1" s="1"/>
  <c r="M45" i="1" s="1"/>
  <c r="K36" i="1"/>
  <c r="L36" i="1" s="1"/>
  <c r="K35" i="1"/>
  <c r="L35" i="1" s="1"/>
  <c r="M35" i="1" s="1"/>
  <c r="K26" i="1"/>
  <c r="L26" i="1" s="1"/>
  <c r="M26" i="1" s="1"/>
  <c r="K97" i="1"/>
  <c r="L97" i="1" s="1"/>
  <c r="M97" i="1" s="1"/>
  <c r="K96" i="1"/>
  <c r="L96" i="1" s="1"/>
  <c r="M96" i="1" s="1"/>
  <c r="K95" i="1"/>
  <c r="L95" i="1" s="1"/>
  <c r="K94" i="1"/>
  <c r="L94" i="1" s="1"/>
  <c r="M94" i="1" s="1"/>
  <c r="K81" i="1"/>
  <c r="L81" i="1" s="1"/>
  <c r="M81" i="1" s="1"/>
  <c r="K80" i="1"/>
  <c r="L80" i="1" s="1"/>
  <c r="M80" i="1" s="1"/>
  <c r="K79" i="1"/>
  <c r="L79" i="1" s="1"/>
  <c r="M79" i="1" s="1"/>
  <c r="K62" i="1"/>
  <c r="L62" i="1" s="1"/>
  <c r="M62" i="1" s="1"/>
  <c r="K53" i="1"/>
  <c r="L53" i="1" s="1"/>
  <c r="M53" i="1" s="1"/>
  <c r="K44" i="1"/>
  <c r="L44" i="1" s="1"/>
  <c r="K43" i="1"/>
  <c r="L43" i="1" s="1"/>
  <c r="K34" i="1"/>
  <c r="L34" i="1" s="1"/>
  <c r="M34" i="1" s="1"/>
  <c r="K78" i="1"/>
  <c r="L78" i="1" s="1"/>
  <c r="M78" i="1" s="1"/>
  <c r="K69" i="1"/>
  <c r="L69" i="1" s="1"/>
  <c r="M69" i="1" s="1"/>
  <c r="K60" i="1"/>
  <c r="L60" i="1" s="1"/>
  <c r="M60" i="1" s="1"/>
  <c r="K32" i="1"/>
  <c r="L32" i="1" s="1"/>
  <c r="M32" i="1" s="1"/>
  <c r="K76" i="1"/>
  <c r="L76" i="1" s="1"/>
  <c r="M76" i="1" s="1"/>
  <c r="K66" i="1"/>
  <c r="L66" i="1" s="1"/>
  <c r="M66" i="1" s="1"/>
  <c r="K48" i="1"/>
  <c r="L48" i="1" s="1"/>
  <c r="K93" i="1"/>
  <c r="L93" i="1" s="1"/>
  <c r="M93" i="1" s="1"/>
  <c r="K70" i="1"/>
  <c r="L70" i="1" s="1"/>
  <c r="M70" i="1" s="1"/>
  <c r="K61" i="1"/>
  <c r="L61" i="1" s="1"/>
  <c r="K52" i="1"/>
  <c r="L52" i="1" s="1"/>
  <c r="M52" i="1" s="1"/>
  <c r="K51" i="1"/>
  <c r="L51" i="1" s="1"/>
  <c r="M51" i="1" s="1"/>
  <c r="K42" i="1"/>
  <c r="L42" i="1" s="1"/>
  <c r="M42" i="1" s="1"/>
  <c r="K59" i="1"/>
  <c r="L59" i="1" s="1"/>
  <c r="M59" i="1" s="1"/>
  <c r="K50" i="1"/>
  <c r="L50" i="1" s="1"/>
  <c r="M50" i="1" s="1"/>
  <c r="K33" i="1"/>
  <c r="L33" i="1" s="1"/>
  <c r="M33" i="1" s="1"/>
  <c r="K47" i="1"/>
  <c r="L47" i="1" s="1"/>
  <c r="M47" i="1" s="1"/>
  <c r="K92" i="1"/>
  <c r="L92" i="1" s="1"/>
  <c r="M92" i="1" s="1"/>
  <c r="K91" i="1"/>
  <c r="L91" i="1" s="1"/>
  <c r="M91" i="1" s="1"/>
  <c r="K77" i="1"/>
  <c r="L77" i="1" s="1"/>
  <c r="M77" i="1" s="1"/>
  <c r="K68" i="1"/>
  <c r="L68" i="1" s="1"/>
  <c r="K67" i="1"/>
  <c r="L67" i="1" s="1"/>
  <c r="M67" i="1" s="1"/>
  <c r="K58" i="1"/>
  <c r="L58" i="1" s="1"/>
  <c r="K41" i="1"/>
  <c r="L41" i="1" s="1"/>
  <c r="M41" i="1" s="1"/>
  <c r="K40" i="1"/>
  <c r="L40" i="1" s="1"/>
  <c r="M40" i="1" s="1"/>
  <c r="K39" i="1"/>
  <c r="L39" i="1" s="1"/>
  <c r="K90" i="1"/>
  <c r="L90" i="1" s="1"/>
  <c r="K89" i="1"/>
  <c r="L89" i="1" s="1"/>
  <c r="M89" i="1" s="1"/>
  <c r="K88" i="1"/>
  <c r="L88" i="1" s="1"/>
  <c r="M88" i="1" s="1"/>
  <c r="K87" i="1"/>
  <c r="L87" i="1" s="1"/>
  <c r="M87" i="1" s="1"/>
  <c r="K86" i="1"/>
  <c r="L86" i="1" s="1"/>
  <c r="M86" i="1" s="1"/>
  <c r="K49" i="1"/>
  <c r="L49" i="1" s="1"/>
  <c r="M49" i="1" s="1"/>
  <c r="N99" i="1"/>
  <c r="N35" i="1"/>
  <c r="N53" i="1"/>
  <c r="N37" i="1"/>
  <c r="N92" i="1"/>
  <c r="N82" i="1"/>
  <c r="N74" i="1"/>
  <c r="N42" i="1"/>
  <c r="N79" i="1"/>
  <c r="N94" i="1"/>
  <c r="N85" i="1"/>
  <c r="N84" i="1"/>
  <c r="N60" i="1"/>
  <c r="N97" i="1"/>
  <c r="N73" i="1"/>
  <c r="N65" i="1"/>
  <c r="N57" i="1"/>
  <c r="N49" i="1"/>
  <c r="N41" i="1"/>
  <c r="N55" i="1"/>
  <c r="N76" i="1"/>
  <c r="N88" i="1"/>
  <c r="N80" i="1"/>
  <c r="N56" i="1"/>
  <c r="N40" i="1"/>
  <c r="N69" i="1"/>
  <c r="N29" i="1"/>
  <c r="K25" i="1"/>
  <c r="L25" i="1" s="1"/>
  <c r="M25" i="1" s="1"/>
  <c r="N31" i="1" l="1"/>
  <c r="M31" i="1"/>
  <c r="N68" i="1"/>
  <c r="M68" i="1"/>
  <c r="N39" i="1"/>
  <c r="M39" i="1"/>
  <c r="N61" i="1"/>
  <c r="M61" i="1"/>
  <c r="N36" i="1"/>
  <c r="M36" i="1"/>
  <c r="N98" i="1"/>
  <c r="M98" i="1"/>
  <c r="N44" i="1"/>
  <c r="M44" i="1"/>
  <c r="N90" i="1"/>
  <c r="M90" i="1"/>
  <c r="N58" i="1"/>
  <c r="M58" i="1"/>
  <c r="N48" i="1"/>
  <c r="M48" i="1"/>
  <c r="N43" i="1"/>
  <c r="M43" i="1"/>
  <c r="N95" i="1"/>
  <c r="M95" i="1"/>
  <c r="N71" i="1"/>
  <c r="M71" i="1"/>
  <c r="N64" i="1"/>
  <c r="M64" i="1"/>
  <c r="N87" i="1"/>
  <c r="N89" i="1"/>
  <c r="N77" i="1"/>
  <c r="N51" i="1"/>
  <c r="N32" i="1"/>
  <c r="N62" i="1"/>
  <c r="N27" i="1"/>
  <c r="N83" i="1"/>
  <c r="N38" i="1"/>
  <c r="N66" i="1"/>
  <c r="N72" i="1"/>
  <c r="N91" i="1"/>
  <c r="N52" i="1"/>
  <c r="N28" i="1"/>
  <c r="N59" i="1"/>
  <c r="N96" i="1"/>
  <c r="N47" i="1"/>
  <c r="N70" i="1"/>
  <c r="N78" i="1"/>
  <c r="N81" i="1"/>
  <c r="N45" i="1"/>
  <c r="N46" i="1"/>
  <c r="N67" i="1"/>
  <c r="N33" i="1"/>
  <c r="N93" i="1"/>
  <c r="N34" i="1"/>
  <c r="N54" i="1"/>
  <c r="N63" i="1"/>
  <c r="N30" i="1"/>
  <c r="N86" i="1"/>
  <c r="N50" i="1"/>
  <c r="N75" i="1"/>
  <c r="N26" i="1"/>
  <c r="B7" i="3"/>
  <c r="C7" i="3" s="1"/>
  <c r="B6" i="3"/>
  <c r="C6" i="3" s="1"/>
  <c r="B10" i="3"/>
  <c r="C10" i="3" s="1"/>
  <c r="B9" i="3"/>
  <c r="C9" i="3" s="1"/>
  <c r="N25" i="1" l="1"/>
  <c r="B11" i="3" l="1"/>
  <c r="C11" i="3" s="1"/>
  <c r="B8" i="3"/>
  <c r="C8" i="3" s="1"/>
  <c r="N100" i="1" l="1"/>
  <c r="B14" i="3"/>
  <c r="C14" i="3" s="1"/>
  <c r="B16" i="3"/>
  <c r="C16" i="3" s="1"/>
  <c r="B15" i="3"/>
  <c r="C15" i="3" s="1"/>
  <c r="B13" i="3"/>
  <c r="C13" i="3" s="1"/>
  <c r="F8" i="1" l="1"/>
  <c r="N101" i="1"/>
  <c r="N102" i="1" s="1"/>
  <c r="B12" i="3"/>
  <c r="C12" i="3" s="1"/>
</calcChain>
</file>

<file path=xl/sharedStrings.xml><?xml version="1.0" encoding="utf-8"?>
<sst xmlns="http://schemas.openxmlformats.org/spreadsheetml/2006/main" count="8117" uniqueCount="2976">
  <si>
    <t>Format No:</t>
  </si>
  <si>
    <t>Individual Villa -IV</t>
  </si>
  <si>
    <t>HULIOT PIPES AND FITTINGS PVT. LTD.</t>
  </si>
  <si>
    <t>Issue Date:</t>
  </si>
  <si>
    <t>Housing-Residential Project - HR</t>
  </si>
  <si>
    <t>REV. No.</t>
  </si>
  <si>
    <t>Commercial Building - CB</t>
  </si>
  <si>
    <t>VADODARA, GUJARAT-391770</t>
  </si>
  <si>
    <t>REV. Date</t>
  </si>
  <si>
    <t>Hotel Project - HP</t>
  </si>
  <si>
    <t>Hospital &amp; Healthcare - HH</t>
  </si>
  <si>
    <t>Business Type:</t>
  </si>
  <si>
    <t>Sales Person:</t>
  </si>
  <si>
    <t>PO No:</t>
  </si>
  <si>
    <t>Industrial /Government Project - IG</t>
  </si>
  <si>
    <t>Business Segment:</t>
  </si>
  <si>
    <t>Marine - M</t>
  </si>
  <si>
    <t>Customer PO No:</t>
  </si>
  <si>
    <t>Date:</t>
  </si>
  <si>
    <t>Others</t>
  </si>
  <si>
    <t>Bitrix ID:</t>
  </si>
  <si>
    <t>Receiver (Bill to)</t>
  </si>
  <si>
    <t>Consignee (Ship to)</t>
  </si>
  <si>
    <t xml:space="preserve">Name:
</t>
  </si>
  <si>
    <t xml:space="preserve">Address :
</t>
  </si>
  <si>
    <t>City:</t>
  </si>
  <si>
    <t>Pin Code:</t>
  </si>
  <si>
    <t>GSTIN No:</t>
  </si>
  <si>
    <t>Contact Person Name</t>
  </si>
  <si>
    <t>714/715, MANJUSAR GIDC SAVLI</t>
  </si>
  <si>
    <t>Sales Order No:</t>
  </si>
  <si>
    <t>Contact Person Mobile</t>
  </si>
  <si>
    <t>Cash Discount:</t>
  </si>
  <si>
    <t>Term of Delivery:</t>
  </si>
  <si>
    <t>Payment Term:</t>
  </si>
  <si>
    <t>Client / Site / Project name:</t>
  </si>
  <si>
    <t>Other Remark</t>
  </si>
  <si>
    <t>Developer Name / Bungalow Owner Name</t>
  </si>
  <si>
    <t>S. No</t>
  </si>
  <si>
    <t>Material No</t>
  </si>
  <si>
    <t>Description of Goods</t>
  </si>
  <si>
    <t>DN</t>
  </si>
  <si>
    <t>Category</t>
  </si>
  <si>
    <t>MOQ</t>
  </si>
  <si>
    <t>Order Qty</t>
  </si>
  <si>
    <t>HSN Code</t>
  </si>
  <si>
    <t>Discount</t>
  </si>
  <si>
    <t>Net Price Per Unit</t>
  </si>
  <si>
    <t>Basic Order Value ₹</t>
  </si>
  <si>
    <t>Product Sub-Group</t>
  </si>
  <si>
    <t>List Price</t>
  </si>
  <si>
    <t>Discount %</t>
  </si>
  <si>
    <t>Cash Discount</t>
  </si>
  <si>
    <t>Net Discount % (After CD)</t>
  </si>
  <si>
    <t>Distributor Name:</t>
  </si>
  <si>
    <t>Order Basic Value ₹:</t>
  </si>
  <si>
    <t>Average Discount on MRP:</t>
  </si>
  <si>
    <t>Consultant / Architect Firm Name</t>
  </si>
  <si>
    <t>Consultant / Architect Contact No.</t>
  </si>
  <si>
    <t>Item Code</t>
  </si>
  <si>
    <t>Material Description</t>
  </si>
  <si>
    <t>GST rate</t>
  </si>
  <si>
    <t>US  S/S PIPE 3 Mtr</t>
  </si>
  <si>
    <t>US  D/S PIPE 3 Mtr</t>
  </si>
  <si>
    <t xml:space="preserve"> US BEND 15</t>
  </si>
  <si>
    <t xml:space="preserve"> US BEND 30</t>
  </si>
  <si>
    <t xml:space="preserve"> US BEND 45</t>
  </si>
  <si>
    <t xml:space="preserve"> US BEND 67.5</t>
  </si>
  <si>
    <t xml:space="preserve"> US BEND 87.5</t>
  </si>
  <si>
    <t xml:space="preserve"> US SINGLE Y</t>
  </si>
  <si>
    <t>32x32</t>
  </si>
  <si>
    <t>40x40</t>
  </si>
  <si>
    <t xml:space="preserve">  US REDUCING Y</t>
  </si>
  <si>
    <t>50x40</t>
  </si>
  <si>
    <t>50x50</t>
  </si>
  <si>
    <t xml:space="preserve"> US REDUCING Y</t>
  </si>
  <si>
    <t>75x50</t>
  </si>
  <si>
    <t>US SINGLE Y</t>
  </si>
  <si>
    <t>75x75</t>
  </si>
  <si>
    <t>110x50</t>
  </si>
  <si>
    <t>110x75</t>
  </si>
  <si>
    <t xml:space="preserve">  US SINGLE Y</t>
  </si>
  <si>
    <t>110x110</t>
  </si>
  <si>
    <t>US REDUCING Y</t>
  </si>
  <si>
    <t>125x110</t>
  </si>
  <si>
    <t>125x125</t>
  </si>
  <si>
    <t>160x110</t>
  </si>
  <si>
    <t>160x160</t>
  </si>
  <si>
    <t>200x160</t>
  </si>
  <si>
    <t>200x200</t>
  </si>
  <si>
    <t xml:space="preserve"> US SINGLE TEE</t>
  </si>
  <si>
    <t>US REDUCING TEE</t>
  </si>
  <si>
    <t>US SINGLE TEE</t>
  </si>
  <si>
    <t>SINGLE TEE SWEPT</t>
  </si>
  <si>
    <t>90x90</t>
  </si>
  <si>
    <t>RED. TEE SWEPT</t>
  </si>
  <si>
    <t>110x90</t>
  </si>
  <si>
    <t>DOOR TEE SWEPT</t>
  </si>
  <si>
    <t>110x110x110</t>
  </si>
  <si>
    <t>CORNER BRANCH</t>
  </si>
  <si>
    <t>DOUBLE BRANCH</t>
  </si>
  <si>
    <t>110x50x50</t>
  </si>
  <si>
    <t>CLEANING PIPE</t>
  </si>
  <si>
    <t>REP. COUPLER</t>
  </si>
  <si>
    <t>COUPLER</t>
  </si>
  <si>
    <t>40x32</t>
  </si>
  <si>
    <t>50x32</t>
  </si>
  <si>
    <t>160x125</t>
  </si>
  <si>
    <t>END CAP</t>
  </si>
  <si>
    <t>LOCK SEAL</t>
  </si>
  <si>
    <t>END LOCK</t>
  </si>
  <si>
    <t>WC CONNECTOR</t>
  </si>
  <si>
    <t>VENT COWL</t>
  </si>
  <si>
    <t>P TRAP</t>
  </si>
  <si>
    <t>110x75x50</t>
  </si>
  <si>
    <t>MULTI FLOOR TRAP WITH SOCKET</t>
  </si>
  <si>
    <t>HT. RISER FOR MFT</t>
  </si>
  <si>
    <t>LUBRICANT</t>
  </si>
  <si>
    <t>250 ML</t>
  </si>
  <si>
    <t>US CLAMP</t>
  </si>
  <si>
    <t>US S/S PIPE</t>
  </si>
  <si>
    <t>US D/S PIPE</t>
  </si>
  <si>
    <t>US FITTINGS</t>
  </si>
  <si>
    <t xml:space="preserve"> HT PRO REDUCER</t>
  </si>
  <si>
    <t>AQUASLIM S. STEEL L/330MM</t>
  </si>
  <si>
    <t>AQUASLIM S. STEEL L/700MM</t>
  </si>
  <si>
    <t>EXTENTION FOR SQUARE GRATING</t>
  </si>
  <si>
    <t>HT PRO  S/S PIPE 3 Mtr</t>
  </si>
  <si>
    <t xml:space="preserve"> HT PRO BEND 15</t>
  </si>
  <si>
    <t xml:space="preserve"> HT PRO BEND 30</t>
  </si>
  <si>
    <t xml:space="preserve"> HT PRO BEND 45</t>
  </si>
  <si>
    <t xml:space="preserve"> HT PRO DOOR BEND 45</t>
  </si>
  <si>
    <t xml:space="preserve"> HT PRO DOOR BEND 45 (R)</t>
  </si>
  <si>
    <t xml:space="preserve"> HT  PRO DOOR BEND 45 (L)</t>
  </si>
  <si>
    <t xml:space="preserve"> HT  PRO DOOR BEND 45</t>
  </si>
  <si>
    <t xml:space="preserve"> HT  PRO DOOR BEND 45 (R)</t>
  </si>
  <si>
    <t xml:space="preserve"> HT PRO BEND 87.5</t>
  </si>
  <si>
    <t xml:space="preserve"> HT  PRO DOOR BEND 87.5 </t>
  </si>
  <si>
    <t xml:space="preserve"> HT  PRO DOOR BEND 87.5 (R)</t>
  </si>
  <si>
    <t xml:space="preserve"> HT  PRO DOOR BEND 87.5 (L)</t>
  </si>
  <si>
    <t xml:space="preserve"> HT  PRO SINGLE Y</t>
  </si>
  <si>
    <t>HT  PRO SINGLE TEE</t>
  </si>
  <si>
    <t>HT  PRO DOUBLE TEE SWEPT</t>
  </si>
  <si>
    <t xml:space="preserve"> HT  PRO REDUCING TEE</t>
  </si>
  <si>
    <t xml:space="preserve"> HT  PRO REDUCING TEE (SHORT)</t>
  </si>
  <si>
    <t xml:space="preserve"> HT PRO REDUCING DOUBLE Y</t>
  </si>
  <si>
    <t xml:space="preserve"> HT  PRO REDUCING DOUBLE Y</t>
  </si>
  <si>
    <t xml:space="preserve"> HT  PRO DOUBLE Y DOOR</t>
  </si>
  <si>
    <t xml:space="preserve"> HT  PRO CORNER BRANCH</t>
  </si>
  <si>
    <t xml:space="preserve"> HT  PRO RED. CORNER BRANCH</t>
  </si>
  <si>
    <t>HT  PRO CLEANING PIPE</t>
  </si>
  <si>
    <t>HT  PRO COUPLER</t>
  </si>
  <si>
    <t>HT  PRO REPAIRING COUPLER</t>
  </si>
  <si>
    <t>HT  PRO END CAP</t>
  </si>
  <si>
    <t>HT  PRO VENT COWL</t>
  </si>
  <si>
    <t>HT  PRO P TRAP</t>
  </si>
  <si>
    <t>HT  PRO MULTI FLOOR TRAP 7"</t>
  </si>
  <si>
    <t>HT  PRO NHANI TRAP (NT)</t>
  </si>
  <si>
    <t>125X110</t>
  </si>
  <si>
    <t>110X110</t>
  </si>
  <si>
    <t>125x50</t>
  </si>
  <si>
    <t>160x50</t>
  </si>
  <si>
    <t>125x110x110</t>
  </si>
  <si>
    <t>160x50x50</t>
  </si>
  <si>
    <t>160x110x110</t>
  </si>
  <si>
    <t>110X75X50</t>
  </si>
  <si>
    <t xml:space="preserve">50x40 </t>
  </si>
  <si>
    <t>98.4x40</t>
  </si>
  <si>
    <t>P-PERTAL16</t>
  </si>
  <si>
    <t>P-PERTAL20</t>
  </si>
  <si>
    <t>P-PERTAL25</t>
  </si>
  <si>
    <t>P-PERTAL32</t>
  </si>
  <si>
    <t>K234020</t>
  </si>
  <si>
    <t>K234021</t>
  </si>
  <si>
    <t>K234026</t>
  </si>
  <si>
    <t>K234025</t>
  </si>
  <si>
    <t>K234027</t>
  </si>
  <si>
    <t>K234033</t>
  </si>
  <si>
    <t>K234032</t>
  </si>
  <si>
    <t>K234040</t>
  </si>
  <si>
    <t>K325016</t>
  </si>
  <si>
    <t>K325020</t>
  </si>
  <si>
    <t>K325021</t>
  </si>
  <si>
    <t>K325026</t>
  </si>
  <si>
    <t>K325025</t>
  </si>
  <si>
    <t>K325027</t>
  </si>
  <si>
    <t>K325033</t>
  </si>
  <si>
    <t>K325032</t>
  </si>
  <si>
    <t>K325040</t>
  </si>
  <si>
    <t>K325050</t>
  </si>
  <si>
    <t>K325063</t>
  </si>
  <si>
    <t>K325075</t>
  </si>
  <si>
    <t>K200016</t>
  </si>
  <si>
    <t>K200020</t>
  </si>
  <si>
    <t>K200025</t>
  </si>
  <si>
    <t>K200032</t>
  </si>
  <si>
    <t>K200040</t>
  </si>
  <si>
    <t>K200050</t>
  </si>
  <si>
    <t>K200063</t>
  </si>
  <si>
    <t>K200075</t>
  </si>
  <si>
    <t>K238020</t>
  </si>
  <si>
    <t>K238025</t>
  </si>
  <si>
    <t>K238026</t>
  </si>
  <si>
    <t>K238032</t>
  </si>
  <si>
    <t>K238033</t>
  </si>
  <si>
    <t>K238042</t>
  </si>
  <si>
    <t>K238043</t>
  </si>
  <si>
    <t>K238052</t>
  </si>
  <si>
    <t>K238053</t>
  </si>
  <si>
    <t>K238054</t>
  </si>
  <si>
    <t>K238064</t>
  </si>
  <si>
    <t>K238065</t>
  </si>
  <si>
    <t>K238076</t>
  </si>
  <si>
    <t>K234016-L</t>
  </si>
  <si>
    <t>K234020-L</t>
  </si>
  <si>
    <t>K234021-L</t>
  </si>
  <si>
    <t>K234025-L</t>
  </si>
  <si>
    <t>K234032-L</t>
  </si>
  <si>
    <t>K206016</t>
  </si>
  <si>
    <t>K206020</t>
  </si>
  <si>
    <t>K206025</t>
  </si>
  <si>
    <t>K206032</t>
  </si>
  <si>
    <t>K206040</t>
  </si>
  <si>
    <t>K206050</t>
  </si>
  <si>
    <t>K206063</t>
  </si>
  <si>
    <t>K206075</t>
  </si>
  <si>
    <t>K208016</t>
  </si>
  <si>
    <t>K208017</t>
  </si>
  <si>
    <t>K208020</t>
  </si>
  <si>
    <t>K208021</t>
  </si>
  <si>
    <t>K208025</t>
  </si>
  <si>
    <t>K208026</t>
  </si>
  <si>
    <t>K208027</t>
  </si>
  <si>
    <t>K208033</t>
  </si>
  <si>
    <t>K208032</t>
  </si>
  <si>
    <t>K208042</t>
  </si>
  <si>
    <t>K208041</t>
  </si>
  <si>
    <t>K208040</t>
  </si>
  <si>
    <t>K208051</t>
  </si>
  <si>
    <t>K208050</t>
  </si>
  <si>
    <t>K208063</t>
  </si>
  <si>
    <t>K208075</t>
  </si>
  <si>
    <t>K209016</t>
  </si>
  <si>
    <t>K209020</t>
  </si>
  <si>
    <t>K209025</t>
  </si>
  <si>
    <t>K209026</t>
  </si>
  <si>
    <t>K209032</t>
  </si>
  <si>
    <t>K212016</t>
  </si>
  <si>
    <t>K212020</t>
  </si>
  <si>
    <t>K212025</t>
  </si>
  <si>
    <t>K230016</t>
  </si>
  <si>
    <t>K230020</t>
  </si>
  <si>
    <t>K230025</t>
  </si>
  <si>
    <t>K230032</t>
  </si>
  <si>
    <t>K230040</t>
  </si>
  <si>
    <t>K230050</t>
  </si>
  <si>
    <t>K230063</t>
  </si>
  <si>
    <t>K230075</t>
  </si>
  <si>
    <t>K233016</t>
  </si>
  <si>
    <t>K233020</t>
  </si>
  <si>
    <t>K233025</t>
  </si>
  <si>
    <t>K233026</t>
  </si>
  <si>
    <t>K233032</t>
  </si>
  <si>
    <t>K232016</t>
  </si>
  <si>
    <t>K232020</t>
  </si>
  <si>
    <t>K232025</t>
  </si>
  <si>
    <t>K232026</t>
  </si>
  <si>
    <t>K232032</t>
  </si>
  <si>
    <t>K232041</t>
  </si>
  <si>
    <t>K232040</t>
  </si>
  <si>
    <t>K232051</t>
  </si>
  <si>
    <t>K232050</t>
  </si>
  <si>
    <t>K232065</t>
  </si>
  <si>
    <t>K232063</t>
  </si>
  <si>
    <t>K232064</t>
  </si>
  <si>
    <t>K232075</t>
  </si>
  <si>
    <t>K231018</t>
  </si>
  <si>
    <t>K231016</t>
  </si>
  <si>
    <t>K231017</t>
  </si>
  <si>
    <t>K231020</t>
  </si>
  <si>
    <t>K231021</t>
  </si>
  <si>
    <t>K231022</t>
  </si>
  <si>
    <t>K231024</t>
  </si>
  <si>
    <t>K231029</t>
  </si>
  <si>
    <t>K231025</t>
  </si>
  <si>
    <t>K231023</t>
  </si>
  <si>
    <t>K231027</t>
  </si>
  <si>
    <t>K231026</t>
  </si>
  <si>
    <t>K231028</t>
  </si>
  <si>
    <t>K231031</t>
  </si>
  <si>
    <t>K231030</t>
  </si>
  <si>
    <t>K231032</t>
  </si>
  <si>
    <t>K231035</t>
  </si>
  <si>
    <t>K231033</t>
  </si>
  <si>
    <t>K231042</t>
  </si>
  <si>
    <t>K231043</t>
  </si>
  <si>
    <t>K231053</t>
  </si>
  <si>
    <t>K231055</t>
  </si>
  <si>
    <t>K231064</t>
  </si>
  <si>
    <t>K231065</t>
  </si>
  <si>
    <t>K231076</t>
  </si>
  <si>
    <t>MW1-3/4-1/2x2</t>
  </si>
  <si>
    <t>MW1-3/4-1/2x3</t>
  </si>
  <si>
    <t>MW1-3/4-1/2x4</t>
  </si>
  <si>
    <t>MW1-1-3/4x2</t>
  </si>
  <si>
    <t>MW1-1-3/4x3</t>
  </si>
  <si>
    <t>MW1-1-3/4x4</t>
  </si>
  <si>
    <t>MW1-1-1/2x2</t>
  </si>
  <si>
    <t>MW1-1-1/2x3</t>
  </si>
  <si>
    <t>MW1-1-1/2x4</t>
  </si>
  <si>
    <t>PF1-C16x1/2</t>
  </si>
  <si>
    <t>PF1-C16x3/4</t>
  </si>
  <si>
    <t>PF1-C20x3/4</t>
  </si>
  <si>
    <t>HTPRO S/S PIPE</t>
  </si>
  <si>
    <t>HTPRO D/S PIPE</t>
  </si>
  <si>
    <t>HTPRO FITTINGS</t>
  </si>
  <si>
    <t>HTPRO P TRAP</t>
  </si>
  <si>
    <t>PSTUBE-316-15</t>
  </si>
  <si>
    <t>PSTUBE-316-22</t>
  </si>
  <si>
    <t>PSTUBE-316-28</t>
  </si>
  <si>
    <t>PSTUBE-316-35</t>
  </si>
  <si>
    <t>PSTUBE-316-42</t>
  </si>
  <si>
    <t>PSTUBE-316-54</t>
  </si>
  <si>
    <t>PSTUBE-316-76</t>
  </si>
  <si>
    <t>PSTUBE-316-89</t>
  </si>
  <si>
    <t>PSTUBE-316-108</t>
  </si>
  <si>
    <t>PS4001G0150400</t>
  </si>
  <si>
    <t>PS4001G0220600</t>
  </si>
  <si>
    <t>PS4001G0280800</t>
  </si>
  <si>
    <t>PS4001G0351000</t>
  </si>
  <si>
    <t>PS4001G0421200</t>
  </si>
  <si>
    <t>PS4001G0541600</t>
  </si>
  <si>
    <t>PS4090G0150400</t>
  </si>
  <si>
    <t>PS4090G0220400</t>
  </si>
  <si>
    <t>PS4090G0220600</t>
  </si>
  <si>
    <t>PS4090G0280800</t>
  </si>
  <si>
    <t>PS4090G0351000</t>
  </si>
  <si>
    <t>PS4092G0150400</t>
  </si>
  <si>
    <t>PS4130G0150415</t>
  </si>
  <si>
    <t>PS4130G0220622</t>
  </si>
  <si>
    <t>PS4130G0280428</t>
  </si>
  <si>
    <t>PS4130G0280628</t>
  </si>
  <si>
    <t>PS4130G0280828</t>
  </si>
  <si>
    <t>PS4130G0350435</t>
  </si>
  <si>
    <t>PS4130G0350635</t>
  </si>
  <si>
    <t>PS4130G0351035</t>
  </si>
  <si>
    <t>PS4130G0420442</t>
  </si>
  <si>
    <t>PS4130G0420642</t>
  </si>
  <si>
    <t>PS4130G0421242</t>
  </si>
  <si>
    <t>PS4130G0540454</t>
  </si>
  <si>
    <t>PS4130G0540654</t>
  </si>
  <si>
    <t>PS4130G0541654</t>
  </si>
  <si>
    <t>PS4130G0890689</t>
  </si>
  <si>
    <t>PS4130G0891689</t>
  </si>
  <si>
    <t>PS4130G10806108</t>
  </si>
  <si>
    <t>PS4130G10816108</t>
  </si>
  <si>
    <t>PS4243G0150400</t>
  </si>
  <si>
    <t>PS4243G0220400</t>
  </si>
  <si>
    <t>PS4243G0220600</t>
  </si>
  <si>
    <t>PS4243G0220800</t>
  </si>
  <si>
    <t>PS4243G0280600</t>
  </si>
  <si>
    <t>PS4243G0280800</t>
  </si>
  <si>
    <t>PS4243G0351000</t>
  </si>
  <si>
    <t>PS4243G0421200</t>
  </si>
  <si>
    <t>PS4243G0541600</t>
  </si>
  <si>
    <t>PS4243G0762000</t>
  </si>
  <si>
    <t>PS4243G0892400</t>
  </si>
  <si>
    <t>PS4270G0150400</t>
  </si>
  <si>
    <t>PS4270G0220400</t>
  </si>
  <si>
    <t>PS4270G0220600</t>
  </si>
  <si>
    <t>PS4270G0220800</t>
  </si>
  <si>
    <t>PS4270G0280600</t>
  </si>
  <si>
    <t>PS4270G0280800</t>
  </si>
  <si>
    <t>PS4270G0351000</t>
  </si>
  <si>
    <t>PS4270G0421200</t>
  </si>
  <si>
    <t>PS4270G0541600</t>
  </si>
  <si>
    <t>PS4270G0762000</t>
  </si>
  <si>
    <t>PS4270G0892400</t>
  </si>
  <si>
    <t>PS4275 0150000</t>
  </si>
  <si>
    <t>PS4275 0220000</t>
  </si>
  <si>
    <t>PS4275 0280000</t>
  </si>
  <si>
    <t>PS4275 0350000</t>
  </si>
  <si>
    <t>PS4275 0420000</t>
  </si>
  <si>
    <t>PS4275 0540000</t>
  </si>
  <si>
    <t>PS4275 0760000</t>
  </si>
  <si>
    <t>PS4275 0890000</t>
  </si>
  <si>
    <t>PS4275 1080000</t>
  </si>
  <si>
    <t>PS4330G0150400</t>
  </si>
  <si>
    <t>PS4330G0150600</t>
  </si>
  <si>
    <t>PS4330G0220600</t>
  </si>
  <si>
    <t>PS4330G0220800</t>
  </si>
  <si>
    <t>PS4330G0280800</t>
  </si>
  <si>
    <t>PS4330G0351000</t>
  </si>
  <si>
    <t>PS4330G0421200</t>
  </si>
  <si>
    <t>PS4330G0541600</t>
  </si>
  <si>
    <t>PS4331G0150400</t>
  </si>
  <si>
    <t>PS4331G0220600</t>
  </si>
  <si>
    <t>PS4331G0280800</t>
  </si>
  <si>
    <t>PS4331G0351000</t>
  </si>
  <si>
    <t>PS4331G0421200</t>
  </si>
  <si>
    <t>PS4331G0541600</t>
  </si>
  <si>
    <t>PS4355 0150600</t>
  </si>
  <si>
    <t>PS4355 0220600</t>
  </si>
  <si>
    <t>PS4355 0220800</t>
  </si>
  <si>
    <t>PS4355 0281000</t>
  </si>
  <si>
    <t>PS4355 0351200</t>
  </si>
  <si>
    <t>PS4471G0150400</t>
  </si>
  <si>
    <t>PS4471G0220600</t>
  </si>
  <si>
    <t>PS4471G0280800</t>
  </si>
  <si>
    <t>PS5002 0150000</t>
  </si>
  <si>
    <t>PS5002 0220000</t>
  </si>
  <si>
    <t>PS5002 0280000</t>
  </si>
  <si>
    <t>PS5002 0350000</t>
  </si>
  <si>
    <t>PS5002 0420000</t>
  </si>
  <si>
    <t>PS5002 0540000</t>
  </si>
  <si>
    <t>PS5002 0760000</t>
  </si>
  <si>
    <t>PS5002 0890000</t>
  </si>
  <si>
    <t>PS5002 1080000</t>
  </si>
  <si>
    <t>PS5041 0150000</t>
  </si>
  <si>
    <t>PS5041 0220000</t>
  </si>
  <si>
    <t>PS5041 0280000</t>
  </si>
  <si>
    <t>PS5041 0350000</t>
  </si>
  <si>
    <t>PS5041 0420000</t>
  </si>
  <si>
    <t>PS5041 0540000</t>
  </si>
  <si>
    <t>PS5041 0760000</t>
  </si>
  <si>
    <t>PS5041 0890000</t>
  </si>
  <si>
    <t>PS5041 1080000</t>
  </si>
  <si>
    <t>PS5087 0150000</t>
  </si>
  <si>
    <t>PS5087 0220000</t>
  </si>
  <si>
    <t>PS5087 0280000</t>
  </si>
  <si>
    <t>PS5088 0150000</t>
  </si>
  <si>
    <t>PS5088 0220000</t>
  </si>
  <si>
    <t>PS5088 0280000</t>
  </si>
  <si>
    <t>PS5130 0151515</t>
  </si>
  <si>
    <t>PS5130 0222222</t>
  </si>
  <si>
    <t>PS5130 0282828</t>
  </si>
  <si>
    <t>PS5130 0353535</t>
  </si>
  <si>
    <t>PS5130 0424242</t>
  </si>
  <si>
    <t>PS5130 0545454</t>
  </si>
  <si>
    <t>PS5130 0767676</t>
  </si>
  <si>
    <t>PS5130 0898989</t>
  </si>
  <si>
    <t>PS5130 0221522</t>
  </si>
  <si>
    <t>PS5130 0281528</t>
  </si>
  <si>
    <t>PS5130 0282228</t>
  </si>
  <si>
    <t>PS5130 0351535</t>
  </si>
  <si>
    <t>PS5130 0352235</t>
  </si>
  <si>
    <t>PS5130 0352835</t>
  </si>
  <si>
    <t>PS5130 0422242</t>
  </si>
  <si>
    <t>PS5130 0422842</t>
  </si>
  <si>
    <t>PS5130 0423542</t>
  </si>
  <si>
    <t>PS5130 0542254</t>
  </si>
  <si>
    <t>PS5130 0542854</t>
  </si>
  <si>
    <t>PS5130 0543554</t>
  </si>
  <si>
    <t>PS5130 0544254</t>
  </si>
  <si>
    <t>PS5130 0762276</t>
  </si>
  <si>
    <t>PS5130 0762876</t>
  </si>
  <si>
    <t>PS5130 0763576</t>
  </si>
  <si>
    <t>PS5130 0764276</t>
  </si>
  <si>
    <t>PS5130 0765476</t>
  </si>
  <si>
    <t>PS5130 0892289</t>
  </si>
  <si>
    <t>PS5130 0892889</t>
  </si>
  <si>
    <t>PS5130 0893589</t>
  </si>
  <si>
    <t>PS5130 0894289</t>
  </si>
  <si>
    <t>PS5130 0895489</t>
  </si>
  <si>
    <t>PS5130 0897689</t>
  </si>
  <si>
    <t>PS5130 10822108</t>
  </si>
  <si>
    <t>PS5130 10828108</t>
  </si>
  <si>
    <t>PS5130 10835108</t>
  </si>
  <si>
    <t>PS5130 10842108</t>
  </si>
  <si>
    <t>PS5130 10854108</t>
  </si>
  <si>
    <t>PS5130 10876108</t>
  </si>
  <si>
    <t>PS5130 10889108</t>
  </si>
  <si>
    <t>PS5270 0150000</t>
  </si>
  <si>
    <t>PS5270 0220000</t>
  </si>
  <si>
    <t>PS5270 0280000</t>
  </si>
  <si>
    <t>PS5270 0350000</t>
  </si>
  <si>
    <t>PS5270 0420000</t>
  </si>
  <si>
    <t>PS5270 0540000</t>
  </si>
  <si>
    <t>PS5270 0760000</t>
  </si>
  <si>
    <t>PS5270 0890000</t>
  </si>
  <si>
    <t>PS5270 1080000</t>
  </si>
  <si>
    <t>PS5243 0221500</t>
  </si>
  <si>
    <t>PS5243 0281500</t>
  </si>
  <si>
    <t>PS5243 0282200</t>
  </si>
  <si>
    <t>PS5243 0352200</t>
  </si>
  <si>
    <t>PS5243 0352800</t>
  </si>
  <si>
    <t>PS5243 0422800</t>
  </si>
  <si>
    <t>PS5243 0423500</t>
  </si>
  <si>
    <t>PS5243 0542800</t>
  </si>
  <si>
    <t>PS5243 0543500</t>
  </si>
  <si>
    <t>PS5243 0544200</t>
  </si>
  <si>
    <t>PS5243 0764200</t>
  </si>
  <si>
    <t>PS5243 0765400</t>
  </si>
  <si>
    <t>PS5243 0894200</t>
  </si>
  <si>
    <t>PS5243 0895400</t>
  </si>
  <si>
    <t>PS5243 0897600</t>
  </si>
  <si>
    <t>PS5243 1085400</t>
  </si>
  <si>
    <t>PS5243 1087600</t>
  </si>
  <si>
    <t>PS5243 1088900</t>
  </si>
  <si>
    <t>PS5301 0150000</t>
  </si>
  <si>
    <t>PS5301 0220000</t>
  </si>
  <si>
    <t>PS5301 0280000</t>
  </si>
  <si>
    <t>PS5301 0350000</t>
  </si>
  <si>
    <t>PS5301 0420000</t>
  </si>
  <si>
    <t>PS5301 0540000</t>
  </si>
  <si>
    <t>PS5301 0760000</t>
  </si>
  <si>
    <t>PS5301 0890000</t>
  </si>
  <si>
    <t>PS5301 1080000</t>
  </si>
  <si>
    <t>MANIFOLD</t>
  </si>
  <si>
    <t>15 x 1.0</t>
  </si>
  <si>
    <t>22 x 1.2</t>
  </si>
  <si>
    <t>28 x 1.2</t>
  </si>
  <si>
    <t>35 x 1.5</t>
  </si>
  <si>
    <t>42 x 1.5</t>
  </si>
  <si>
    <t>54 x 1.5</t>
  </si>
  <si>
    <t>76.1 x 2.0</t>
  </si>
  <si>
    <t>88.9 x 2.0</t>
  </si>
  <si>
    <t>108 x 2.0</t>
  </si>
  <si>
    <t>STAINLESS STEEL PIPE</t>
  </si>
  <si>
    <t>STAINLESS STEEL FITTINGS</t>
  </si>
  <si>
    <t>Basic Order Value (INR)</t>
  </si>
  <si>
    <t>GST Amount (INR)</t>
  </si>
  <si>
    <t>Total Order Value (INR)</t>
  </si>
  <si>
    <t>49540750 G-i</t>
  </si>
  <si>
    <t>69201551 G-i</t>
  </si>
  <si>
    <t>69203551 G-i</t>
  </si>
  <si>
    <t>69111750 G-i</t>
  </si>
  <si>
    <t>49540750 B-i</t>
  </si>
  <si>
    <t>17078111070-B</t>
  </si>
  <si>
    <t>69111750 B-i</t>
  </si>
  <si>
    <t>69201551 B-i</t>
  </si>
  <si>
    <t>69203551 B-i</t>
  </si>
  <si>
    <t>Sales Order No</t>
  </si>
  <si>
    <t xml:space="preserve">Sales Order Approval Request-Single Lot </t>
  </si>
  <si>
    <t>Distributor Location:</t>
  </si>
  <si>
    <t xml:space="preserve">List Price </t>
  </si>
  <si>
    <t>Site / Project Name:</t>
  </si>
  <si>
    <t>PZ-1550</t>
  </si>
  <si>
    <t>U16</t>
  </si>
  <si>
    <t>U20</t>
  </si>
  <si>
    <t>U25</t>
  </si>
  <si>
    <t>U32</t>
  </si>
  <si>
    <t>U40</t>
  </si>
  <si>
    <t>V15</t>
  </si>
  <si>
    <t>V22</t>
  </si>
  <si>
    <t>V28</t>
  </si>
  <si>
    <t>V35</t>
  </si>
  <si>
    <t>V42</t>
  </si>
  <si>
    <t>V54</t>
  </si>
  <si>
    <t>Order Validity:</t>
  </si>
  <si>
    <t>54040300-i</t>
  </si>
  <si>
    <t>54050300-i</t>
  </si>
  <si>
    <t>54075300-i</t>
  </si>
  <si>
    <t>540110300-i</t>
  </si>
  <si>
    <t>540125300-i</t>
  </si>
  <si>
    <t>540160300-i</t>
  </si>
  <si>
    <t>540200300-i</t>
  </si>
  <si>
    <t>5404040300-i</t>
  </si>
  <si>
    <t>5405050300-i</t>
  </si>
  <si>
    <t>5407575300-i</t>
  </si>
  <si>
    <t>5401111300-i</t>
  </si>
  <si>
    <t>5401212300-i</t>
  </si>
  <si>
    <t>5401616300-i</t>
  </si>
  <si>
    <t>5404000025-i</t>
  </si>
  <si>
    <t>5405000025-i</t>
  </si>
  <si>
    <t>5407500025-i</t>
  </si>
  <si>
    <t>5401200025-i</t>
  </si>
  <si>
    <t>5401600025-i</t>
  </si>
  <si>
    <t>54040050-i</t>
  </si>
  <si>
    <t>54050050-i</t>
  </si>
  <si>
    <t>54075050-i</t>
  </si>
  <si>
    <t>540110050-i</t>
  </si>
  <si>
    <t>540125050-i</t>
  </si>
  <si>
    <t>540160050-i</t>
  </si>
  <si>
    <t>54040100-i</t>
  </si>
  <si>
    <t>54050100-i</t>
  </si>
  <si>
    <t>54075100-i</t>
  </si>
  <si>
    <t>540110100-i</t>
  </si>
  <si>
    <t>540125100-i</t>
  </si>
  <si>
    <t>540160100-i</t>
  </si>
  <si>
    <t>54040150-i</t>
  </si>
  <si>
    <t>54050150-i</t>
  </si>
  <si>
    <t>54075150-i</t>
  </si>
  <si>
    <t>540110150-i</t>
  </si>
  <si>
    <t>540125150-i</t>
  </si>
  <si>
    <t>540160150-i</t>
  </si>
  <si>
    <t>54040200-i</t>
  </si>
  <si>
    <t>54050200-i</t>
  </si>
  <si>
    <t>54075200-i</t>
  </si>
  <si>
    <t>540110200-i</t>
  </si>
  <si>
    <t>540125200-i</t>
  </si>
  <si>
    <t>540160200-i</t>
  </si>
  <si>
    <t>5404040050-i</t>
  </si>
  <si>
    <t>540505050-i</t>
  </si>
  <si>
    <t>5407575050-i</t>
  </si>
  <si>
    <t>5401111050-i</t>
  </si>
  <si>
    <t>5401212050-i</t>
  </si>
  <si>
    <t>5401616050-i</t>
  </si>
  <si>
    <t>5404040100-i</t>
  </si>
  <si>
    <t>5405050100-i</t>
  </si>
  <si>
    <t>5407575100-i</t>
  </si>
  <si>
    <t>5401111100-i</t>
  </si>
  <si>
    <t>5401212100-i</t>
  </si>
  <si>
    <t>5401616100-i</t>
  </si>
  <si>
    <t>5404040150-i</t>
  </si>
  <si>
    <t>5405050150-i</t>
  </si>
  <si>
    <t>5407575150-i</t>
  </si>
  <si>
    <t>5401111150-i</t>
  </si>
  <si>
    <t>5401212150-i</t>
  </si>
  <si>
    <t>5401616150-i</t>
  </si>
  <si>
    <t>5404040200-i</t>
  </si>
  <si>
    <t>5405050200-i</t>
  </si>
  <si>
    <t>5407575200-i</t>
  </si>
  <si>
    <t>5401111200-i</t>
  </si>
  <si>
    <t>5401212200-i</t>
  </si>
  <si>
    <t>5401616200-i</t>
  </si>
  <si>
    <t>HTPRO MULTIFLOOR TRAP</t>
  </si>
  <si>
    <t>SHOWER CHANNEL</t>
  </si>
  <si>
    <t>GRATING</t>
  </si>
  <si>
    <t>FLANGE FOR WC BEND - WHITE</t>
  </si>
  <si>
    <t>HTPRO CLAMP</t>
  </si>
  <si>
    <t>5753200300-i</t>
  </si>
  <si>
    <t>5754000300-i</t>
  </si>
  <si>
    <t>5755000300-i</t>
  </si>
  <si>
    <t>5757500300-i</t>
  </si>
  <si>
    <t>5751100300-i</t>
  </si>
  <si>
    <t>5751200300-i</t>
  </si>
  <si>
    <t>5751600300-i</t>
  </si>
  <si>
    <t>5752000300-i</t>
  </si>
  <si>
    <t>5754040300-i</t>
  </si>
  <si>
    <t>5755050300-i</t>
  </si>
  <si>
    <t>5757575300-i</t>
  </si>
  <si>
    <t>5751111300-i</t>
  </si>
  <si>
    <t>5751212300-i</t>
  </si>
  <si>
    <t>5751616300-i</t>
  </si>
  <si>
    <t>5752020300-i</t>
  </si>
  <si>
    <t>US PIPE (S/SOCKET) 40/250 MM</t>
  </si>
  <si>
    <t>5755000025-i</t>
  </si>
  <si>
    <t>US PIPE (S/SOCKET) 50/250 MM</t>
  </si>
  <si>
    <t>5757500025-i</t>
  </si>
  <si>
    <t>US PIPE (S/SOCKET) 75/250 MM</t>
  </si>
  <si>
    <t>US PIPE (S/SOCKET) 110/250 MM</t>
  </si>
  <si>
    <t>US PIPE (S/SOCKET) 125/250 MM</t>
  </si>
  <si>
    <t>US PIPE (S/SOCKET) 160/250 MM</t>
  </si>
  <si>
    <t>5754000050-i</t>
  </si>
  <si>
    <t>US  S/S PIPE 1.5 Ft.</t>
  </si>
  <si>
    <t>5755000050-i</t>
  </si>
  <si>
    <t>5757500050-i</t>
  </si>
  <si>
    <t>5751100050-i</t>
  </si>
  <si>
    <t>5751200050-i</t>
  </si>
  <si>
    <t>5751600050-i</t>
  </si>
  <si>
    <t>5754000100-i</t>
  </si>
  <si>
    <t>US  S/S PIPE 3.0 Ft.</t>
  </si>
  <si>
    <t>5755000100-i</t>
  </si>
  <si>
    <t>5757500100-i</t>
  </si>
  <si>
    <t>5751100100-i</t>
  </si>
  <si>
    <t>5751200100-i</t>
  </si>
  <si>
    <t>5751600100-i</t>
  </si>
  <si>
    <t>5752000100-i</t>
  </si>
  <si>
    <t>5754000150-i</t>
  </si>
  <si>
    <t>US  S/S PIPE 4.5 Ft.</t>
  </si>
  <si>
    <t>5755000150-i</t>
  </si>
  <si>
    <t>5757500150-i</t>
  </si>
  <si>
    <t>5751100150-i</t>
  </si>
  <si>
    <t>5751200150-i</t>
  </si>
  <si>
    <t>5751600150-i</t>
  </si>
  <si>
    <t>5752000150-i</t>
  </si>
  <si>
    <t>5754000200-i</t>
  </si>
  <si>
    <t xml:space="preserve"> US  S/S PIPE 6.0 Ft.</t>
  </si>
  <si>
    <t>5755000200-i</t>
  </si>
  <si>
    <t>5757500200-i</t>
  </si>
  <si>
    <t>5751100200-i</t>
  </si>
  <si>
    <t>5751200200-i</t>
  </si>
  <si>
    <t>5751600200-i</t>
  </si>
  <si>
    <t>5752000200-i</t>
  </si>
  <si>
    <t>5754040050-i</t>
  </si>
  <si>
    <t>US  D/S PIPE 1.5 Ft.</t>
  </si>
  <si>
    <t>5755050050-i</t>
  </si>
  <si>
    <t>5757575050-i</t>
  </si>
  <si>
    <t>5751111050-i</t>
  </si>
  <si>
    <t>5751212050-i</t>
  </si>
  <si>
    <t>5751616050-i</t>
  </si>
  <si>
    <t>5754040100-i</t>
  </si>
  <si>
    <t>US  D/S PIPE 3.0 Ft.</t>
  </si>
  <si>
    <t>5755050100-i</t>
  </si>
  <si>
    <t>5757575100-i</t>
  </si>
  <si>
    <t>5751111100-i</t>
  </si>
  <si>
    <t>5751212100-i</t>
  </si>
  <si>
    <t>5751616100-i</t>
  </si>
  <si>
    <t>5752020100-i</t>
  </si>
  <si>
    <t>5754040150-i</t>
  </si>
  <si>
    <t>US  D/S PIPE 4.5 Ft.</t>
  </si>
  <si>
    <t>5755050150-i</t>
  </si>
  <si>
    <t>5757575150-i</t>
  </si>
  <si>
    <t>5751111150-i</t>
  </si>
  <si>
    <t>5751212150-i</t>
  </si>
  <si>
    <t>5751616150-i</t>
  </si>
  <si>
    <t>5752020150-i</t>
  </si>
  <si>
    <t>5754040200-i</t>
  </si>
  <si>
    <t xml:space="preserve"> US  D/S PIPE 6.0 Ft.</t>
  </si>
  <si>
    <t>5755050200-i</t>
  </si>
  <si>
    <t>US  D/S PIPE 6.0 Ft.</t>
  </si>
  <si>
    <t>5757575200-i</t>
  </si>
  <si>
    <t>5751111200-i</t>
  </si>
  <si>
    <t>5751212200-i</t>
  </si>
  <si>
    <t>5751616200-i</t>
  </si>
  <si>
    <t>5752020200-i</t>
  </si>
  <si>
    <t>REDUCER</t>
  </si>
  <si>
    <t>S11050505075-i</t>
  </si>
  <si>
    <t>NHANI TRAP (NT)</t>
  </si>
  <si>
    <t>USSW Technical Bend / Siphon Connector</t>
  </si>
  <si>
    <t>LONG USSW Technical Bend / Siphon Connector</t>
  </si>
  <si>
    <t>T047T000000000</t>
  </si>
  <si>
    <t>T046T000000000</t>
  </si>
  <si>
    <t>T050T000000032</t>
  </si>
  <si>
    <t>T050T000000040</t>
  </si>
  <si>
    <t>PERT (II)-AL-PERT(II)</t>
  </si>
  <si>
    <t>MLCP PIPE</t>
  </si>
  <si>
    <t>K234016</t>
  </si>
  <si>
    <t>16x1/2</t>
  </si>
  <si>
    <t>KLIMAPRESS FEMALE ADAPTER BRASS</t>
  </si>
  <si>
    <t>20x1/2</t>
  </si>
  <si>
    <t>20x3/4</t>
  </si>
  <si>
    <t>25x1/2</t>
  </si>
  <si>
    <t>25x3/4</t>
  </si>
  <si>
    <t>32x3/4</t>
  </si>
  <si>
    <t>32x1</t>
  </si>
  <si>
    <t>40x1 1/4</t>
  </si>
  <si>
    <t>50x1 1/2</t>
  </si>
  <si>
    <t>63x2</t>
  </si>
  <si>
    <t>75x2 1/2</t>
  </si>
  <si>
    <t>90x3</t>
  </si>
  <si>
    <t>110x4</t>
  </si>
  <si>
    <t>KLIMAPRESS MALE ADAPTER BRASS</t>
  </si>
  <si>
    <t>25x1</t>
  </si>
  <si>
    <t>KLIMAPRESS STRAIGHT COUPLER BRASS</t>
  </si>
  <si>
    <t>20x16</t>
  </si>
  <si>
    <t>25x16</t>
  </si>
  <si>
    <t>25x20</t>
  </si>
  <si>
    <t>32x20</t>
  </si>
  <si>
    <t>32x25</t>
  </si>
  <si>
    <t>40x25</t>
  </si>
  <si>
    <t>63x40</t>
  </si>
  <si>
    <t>63x50</t>
  </si>
  <si>
    <t>75x63</t>
  </si>
  <si>
    <t>KLIMAPRESS FEMALE ADAPTER WITH LOSE NUT BRASS</t>
  </si>
  <si>
    <t>KLIMAPRESS EQUAL ELBOW BRASS</t>
  </si>
  <si>
    <t>KLIMAPRESS FEMALE THREADED ELBOW BRASS</t>
  </si>
  <si>
    <t>16x3/4</t>
  </si>
  <si>
    <t>40x1</t>
  </si>
  <si>
    <t>50x1</t>
  </si>
  <si>
    <t>KLIMAPRESS MALE THREADED ELBOW BRASS</t>
  </si>
  <si>
    <t>KLIMAPRESS WALL PLATE FEMALE THREADED ELBOW BRASS</t>
  </si>
  <si>
    <t>KLIMAPRESS EQUAL TEE BRASS</t>
  </si>
  <si>
    <t>63x1</t>
  </si>
  <si>
    <t>63x2 1/2</t>
  </si>
  <si>
    <t>16x20x16</t>
  </si>
  <si>
    <t>KLIMAPRESS REDUCE TEE BRASS</t>
  </si>
  <si>
    <t>16x25x16</t>
  </si>
  <si>
    <t>20x16x16</t>
  </si>
  <si>
    <t>20x16x20</t>
  </si>
  <si>
    <t>20x20x16</t>
  </si>
  <si>
    <t>20x25x20</t>
  </si>
  <si>
    <t>25x16x16</t>
  </si>
  <si>
    <t>25x16x20</t>
  </si>
  <si>
    <t>25x16x25</t>
  </si>
  <si>
    <t>25x20x16</t>
  </si>
  <si>
    <t>25x20x20</t>
  </si>
  <si>
    <t>25x20x25</t>
  </si>
  <si>
    <t>25x25x20</t>
  </si>
  <si>
    <t>25x32x25</t>
  </si>
  <si>
    <t>32x16x32</t>
  </si>
  <si>
    <t>32x20x32</t>
  </si>
  <si>
    <t>32x25x25</t>
  </si>
  <si>
    <t>32x25x32</t>
  </si>
  <si>
    <t>40x25x40</t>
  </si>
  <si>
    <t>40x32x40</t>
  </si>
  <si>
    <t>50x32x50</t>
  </si>
  <si>
    <t>50x40x50</t>
  </si>
  <si>
    <t>63x40x63</t>
  </si>
  <si>
    <t>63x50x63</t>
  </si>
  <si>
    <t>75x63x75</t>
  </si>
  <si>
    <t>16 x 1/2"</t>
  </si>
  <si>
    <t>16 x 3/4"</t>
  </si>
  <si>
    <t>20 x 3/4"</t>
  </si>
  <si>
    <t>P-16020-FCT</t>
  </si>
  <si>
    <t>P-16025-FCT</t>
  </si>
  <si>
    <t>P-16032-FCT</t>
  </si>
  <si>
    <t>P-16040-FCT</t>
  </si>
  <si>
    <t>P-16050-FCT</t>
  </si>
  <si>
    <t>P-16063-FCT</t>
  </si>
  <si>
    <t>P-16075-FCT</t>
  </si>
  <si>
    <t>P-16090-FCT</t>
  </si>
  <si>
    <t>P-160110-FCT</t>
  </si>
  <si>
    <t>P-160125-FCT</t>
  </si>
  <si>
    <t>P-160160-FCT</t>
  </si>
  <si>
    <t>P-160200-FCT</t>
  </si>
  <si>
    <t>P-160250-FCT</t>
  </si>
  <si>
    <t>P-16020-FUV</t>
  </si>
  <si>
    <t>P-16025-FUV</t>
  </si>
  <si>
    <t>P-16032-FUV</t>
  </si>
  <si>
    <t>P-16040-FUV</t>
  </si>
  <si>
    <t>P-16050-FUV</t>
  </si>
  <si>
    <t>P-16063-FUV</t>
  </si>
  <si>
    <t>P-16075-FUV</t>
  </si>
  <si>
    <t>P-CT206020</t>
  </si>
  <si>
    <t>P-CT206025</t>
  </si>
  <si>
    <t>P-CT206032</t>
  </si>
  <si>
    <t>P-206040</t>
  </si>
  <si>
    <t>P-206050</t>
  </si>
  <si>
    <t>P-206063</t>
  </si>
  <si>
    <t>P-206075</t>
  </si>
  <si>
    <t>P-206090</t>
  </si>
  <si>
    <t>P-2060110</t>
  </si>
  <si>
    <t>P-2060125</t>
  </si>
  <si>
    <t>P-2060160</t>
  </si>
  <si>
    <t>CT2060200</t>
  </si>
  <si>
    <t>CT2060250</t>
  </si>
  <si>
    <t>CT2060315</t>
  </si>
  <si>
    <t>P-CT202020</t>
  </si>
  <si>
    <t>P-CT202025</t>
  </si>
  <si>
    <t>P-CT202032</t>
  </si>
  <si>
    <t>P-202040</t>
  </si>
  <si>
    <t>P-202050</t>
  </si>
  <si>
    <t>P-202063</t>
  </si>
  <si>
    <t>P-202075</t>
  </si>
  <si>
    <t>P-202090</t>
  </si>
  <si>
    <t>P-2020110</t>
  </si>
  <si>
    <t>P-2020125</t>
  </si>
  <si>
    <t>P-2020160</t>
  </si>
  <si>
    <t>CT2020200</t>
  </si>
  <si>
    <t>CT2020250</t>
  </si>
  <si>
    <t>CT2020315</t>
  </si>
  <si>
    <t>P-CT208020</t>
  </si>
  <si>
    <t>P-CT208025</t>
  </si>
  <si>
    <t>P-CT208026</t>
  </si>
  <si>
    <t>P-CT208033</t>
  </si>
  <si>
    <t>P-CT208032</t>
  </si>
  <si>
    <t>P-CT209020</t>
  </si>
  <si>
    <t>P-CT209025</t>
  </si>
  <si>
    <t>P-CT209026</t>
  </si>
  <si>
    <t>P-CT209033</t>
  </si>
  <si>
    <t>P-CT209032</t>
  </si>
  <si>
    <t>P-212020</t>
  </si>
  <si>
    <t>P-212026</t>
  </si>
  <si>
    <t>P-212025</t>
  </si>
  <si>
    <t>P-CT208020-L</t>
  </si>
  <si>
    <t>P-CT208025-L</t>
  </si>
  <si>
    <t>P-CT208026-L</t>
  </si>
  <si>
    <t>P-CT208032-L</t>
  </si>
  <si>
    <t>32x1 1/4</t>
  </si>
  <si>
    <t>P-CT208033-L</t>
  </si>
  <si>
    <t>P-CT230020</t>
  </si>
  <si>
    <t>P-CT230025</t>
  </si>
  <si>
    <t>P-CT230032</t>
  </si>
  <si>
    <t>P-230040</t>
  </si>
  <si>
    <t>P-230050</t>
  </si>
  <si>
    <t>P-230063</t>
  </si>
  <si>
    <t>P-230075</t>
  </si>
  <si>
    <t>P-230090</t>
  </si>
  <si>
    <t>P-2300110</t>
  </si>
  <si>
    <t>P-2300125</t>
  </si>
  <si>
    <t>P-2300160</t>
  </si>
  <si>
    <t>CT2300200</t>
  </si>
  <si>
    <t>CT2300250</t>
  </si>
  <si>
    <t>CT2300315</t>
  </si>
  <si>
    <t>CT2300355</t>
  </si>
  <si>
    <t>CT2300400</t>
  </si>
  <si>
    <t>P-CT231020</t>
  </si>
  <si>
    <t>P-CT231023</t>
  </si>
  <si>
    <t>P-CT231025</t>
  </si>
  <si>
    <t>P-CT231033</t>
  </si>
  <si>
    <t>P-231041</t>
  </si>
  <si>
    <t>P-231042</t>
  </si>
  <si>
    <t>P-231043</t>
  </si>
  <si>
    <t>P-231052</t>
  </si>
  <si>
    <t>50x25x50</t>
  </si>
  <si>
    <t>P-231053</t>
  </si>
  <si>
    <t>P-231054</t>
  </si>
  <si>
    <t>P-231062</t>
  </si>
  <si>
    <t>63x25x63</t>
  </si>
  <si>
    <t>P-231063</t>
  </si>
  <si>
    <t>63x32x63</t>
  </si>
  <si>
    <t>P-231064</t>
  </si>
  <si>
    <t>P-231065</t>
  </si>
  <si>
    <t>P-231074</t>
  </si>
  <si>
    <t>75x40x75</t>
  </si>
  <si>
    <t>P-231075</t>
  </si>
  <si>
    <t>75x50x75</t>
  </si>
  <si>
    <t>P-231076</t>
  </si>
  <si>
    <t>P-231097</t>
  </si>
  <si>
    <t>90x75x90</t>
  </si>
  <si>
    <t>P-2310110</t>
  </si>
  <si>
    <t>110x90x110</t>
  </si>
  <si>
    <t>P-2310125</t>
  </si>
  <si>
    <t>125x110x125</t>
  </si>
  <si>
    <t>P-CT233020</t>
  </si>
  <si>
    <t>P-CT233025</t>
  </si>
  <si>
    <t>P-CT233026</t>
  </si>
  <si>
    <t>P-CT233032</t>
  </si>
  <si>
    <t>P-CT233033</t>
  </si>
  <si>
    <t>P-CT232020</t>
  </si>
  <si>
    <t>P-CT232025</t>
  </si>
  <si>
    <t>P-CT232026</t>
  </si>
  <si>
    <t>P-CT232032</t>
  </si>
  <si>
    <t>P-CT232033</t>
  </si>
  <si>
    <t>P-CT200020</t>
  </si>
  <si>
    <t>PP-R FITTINGS</t>
  </si>
  <si>
    <t>P-CT200025</t>
  </si>
  <si>
    <t>P-CT200032</t>
  </si>
  <si>
    <t>P-200040</t>
  </si>
  <si>
    <t>P-200050</t>
  </si>
  <si>
    <t>P-200063</t>
  </si>
  <si>
    <t>P-200075</t>
  </si>
  <si>
    <t>P-200090</t>
  </si>
  <si>
    <t>P-2000110</t>
  </si>
  <si>
    <t>P-2000125</t>
  </si>
  <si>
    <t>P-CT238025</t>
  </si>
  <si>
    <t>P-CT238032</t>
  </si>
  <si>
    <t>P-CT238033</t>
  </si>
  <si>
    <t>P-238040</t>
  </si>
  <si>
    <t>40x20</t>
  </si>
  <si>
    <t>P-238041</t>
  </si>
  <si>
    <t>P-238042</t>
  </si>
  <si>
    <t>P-238051</t>
  </si>
  <si>
    <t>50x20</t>
  </si>
  <si>
    <t>P-238055</t>
  </si>
  <si>
    <t>50x25</t>
  </si>
  <si>
    <t>P-238052</t>
  </si>
  <si>
    <t>P-238050</t>
  </si>
  <si>
    <t>P-238062</t>
  </si>
  <si>
    <t>63x25</t>
  </si>
  <si>
    <t>P-238065</t>
  </si>
  <si>
    <t>63x32</t>
  </si>
  <si>
    <t>P-238063</t>
  </si>
  <si>
    <t>P-238067</t>
  </si>
  <si>
    <t>P-238075</t>
  </si>
  <si>
    <t>P-238076</t>
  </si>
  <si>
    <t>P-238096</t>
  </si>
  <si>
    <t>90x63</t>
  </si>
  <si>
    <t>P-238097</t>
  </si>
  <si>
    <t>90x75</t>
  </si>
  <si>
    <t>P-2380116</t>
  </si>
  <si>
    <t>110x63</t>
  </si>
  <si>
    <t>P-2380117</t>
  </si>
  <si>
    <t>P-2380110</t>
  </si>
  <si>
    <t>P-2380125</t>
  </si>
  <si>
    <t>P-2380160</t>
  </si>
  <si>
    <t>P-2380161</t>
  </si>
  <si>
    <t>P-CT234020</t>
  </si>
  <si>
    <t>P-CT234025</t>
  </si>
  <si>
    <t>P-CT234026</t>
  </si>
  <si>
    <t>P-CT234033</t>
  </si>
  <si>
    <t>P-CT234032</t>
  </si>
  <si>
    <t>P-234040</t>
  </si>
  <si>
    <t>P-234050</t>
  </si>
  <si>
    <t>P-234063</t>
  </si>
  <si>
    <t>P-234075</t>
  </si>
  <si>
    <t>P-234090</t>
  </si>
  <si>
    <t>P-2340110</t>
  </si>
  <si>
    <t>P-CT325020</t>
  </si>
  <si>
    <t>P-CT325025</t>
  </si>
  <si>
    <t>P-CT325026</t>
  </si>
  <si>
    <t>P-CT325033</t>
  </si>
  <si>
    <t>P-CT325032</t>
  </si>
  <si>
    <t>P-325040</t>
  </si>
  <si>
    <t>P-325050</t>
  </si>
  <si>
    <t>P-325063</t>
  </si>
  <si>
    <t>P-325075</t>
  </si>
  <si>
    <t>P-325090</t>
  </si>
  <si>
    <t>P-3250110</t>
  </si>
  <si>
    <t>P-UC20</t>
  </si>
  <si>
    <t>P-UC25</t>
  </si>
  <si>
    <t>P-UC32</t>
  </si>
  <si>
    <t>P-200020-D</t>
  </si>
  <si>
    <t>P-200025-D</t>
  </si>
  <si>
    <t>P-200032-D</t>
  </si>
  <si>
    <t>P-200040-D</t>
  </si>
  <si>
    <t>P-200050-D</t>
  </si>
  <si>
    <t>P-200020-DM</t>
  </si>
  <si>
    <t>P-200025-DM</t>
  </si>
  <si>
    <t>P-200032-DM</t>
  </si>
  <si>
    <t>P-200040-DM</t>
  </si>
  <si>
    <t>P-200050-DM</t>
  </si>
  <si>
    <t>P-200020-DH</t>
  </si>
  <si>
    <t>P-200025-DH</t>
  </si>
  <si>
    <t>P-200032-DH</t>
  </si>
  <si>
    <t>P-200040-DH</t>
  </si>
  <si>
    <t>P-200050-DH</t>
  </si>
  <si>
    <t>P-234040-L</t>
  </si>
  <si>
    <t>P-234050-L</t>
  </si>
  <si>
    <t>50x2</t>
  </si>
  <si>
    <t>P-234063-L</t>
  </si>
  <si>
    <t>P-234075-L</t>
  </si>
  <si>
    <t>75x3</t>
  </si>
  <si>
    <t>P-242020</t>
  </si>
  <si>
    <t>P-242025</t>
  </si>
  <si>
    <t>P-242032</t>
  </si>
  <si>
    <t>P-242040</t>
  </si>
  <si>
    <t>P-242050</t>
  </si>
  <si>
    <t>P-242063</t>
  </si>
  <si>
    <t>P-242075</t>
  </si>
  <si>
    <t>P-242090</t>
  </si>
  <si>
    <t>P-2420110</t>
  </si>
  <si>
    <t>P-2420125</t>
  </si>
  <si>
    <t>P-2420160</t>
  </si>
  <si>
    <t>CT2420200</t>
  </si>
  <si>
    <t>CT2420250</t>
  </si>
  <si>
    <t>CT2420315</t>
  </si>
  <si>
    <t>P-480063</t>
  </si>
  <si>
    <t>63/75/90x20</t>
  </si>
  <si>
    <t>P-480064</t>
  </si>
  <si>
    <t>63/75/90x25</t>
  </si>
  <si>
    <t>P-480065</t>
  </si>
  <si>
    <t>63/75/90x32</t>
  </si>
  <si>
    <t>P-480110</t>
  </si>
  <si>
    <t>110/125/160x20</t>
  </si>
  <si>
    <t>P-480111</t>
  </si>
  <si>
    <t>110/125/160x25</t>
  </si>
  <si>
    <t>P-480112</t>
  </si>
  <si>
    <t>110/125/160x32</t>
  </si>
  <si>
    <t>P-490063</t>
  </si>
  <si>
    <t>63/75/90x1/2</t>
  </si>
  <si>
    <t>P-490064</t>
  </si>
  <si>
    <t>63/75/90x3/4</t>
  </si>
  <si>
    <t>P-490110</t>
  </si>
  <si>
    <t>110/125/160x1/2</t>
  </si>
  <si>
    <t>P-490111</t>
  </si>
  <si>
    <t>P-500063</t>
  </si>
  <si>
    <t>P-500064</t>
  </si>
  <si>
    <t>P-500110</t>
  </si>
  <si>
    <t>P-500111</t>
  </si>
  <si>
    <t>P-AB20</t>
  </si>
  <si>
    <t>P-AB25</t>
  </si>
  <si>
    <t>P-AB32</t>
  </si>
  <si>
    <t>P-AB40</t>
  </si>
  <si>
    <t>P-PBRIDA40H</t>
  </si>
  <si>
    <t>P-PBRIDA50H</t>
  </si>
  <si>
    <t>P-PBRIDA63H</t>
  </si>
  <si>
    <t>P-PBRIDA75H</t>
  </si>
  <si>
    <t>P-PBRIDA90H</t>
  </si>
  <si>
    <t>P-PBRIDA110H</t>
  </si>
  <si>
    <t>P-PBRIDA125H</t>
  </si>
  <si>
    <t>P-PBRIDA160H</t>
  </si>
  <si>
    <t>CTPBRIDA200H</t>
  </si>
  <si>
    <t>CTPBRIDA250H</t>
  </si>
  <si>
    <t>CTPBRIDA315H</t>
  </si>
  <si>
    <t>CTPBRIDA355H</t>
  </si>
  <si>
    <t>CTPBRIDA400H</t>
  </si>
  <si>
    <t>P-244020</t>
  </si>
  <si>
    <t>P-244025</t>
  </si>
  <si>
    <t>P-244032</t>
  </si>
  <si>
    <t>P-244020-CP</t>
  </si>
  <si>
    <t>P-244025-CP</t>
  </si>
  <si>
    <t>P-244032-CP</t>
  </si>
  <si>
    <t>P-244020-VLO</t>
  </si>
  <si>
    <t>P-244025-VLO</t>
  </si>
  <si>
    <t>P-244032-VLO</t>
  </si>
  <si>
    <t>P-244020-RO</t>
  </si>
  <si>
    <t>P-244025-RO</t>
  </si>
  <si>
    <t>P-244032-RO</t>
  </si>
  <si>
    <t>P-244020-X</t>
  </si>
  <si>
    <t>P-244025-X</t>
  </si>
  <si>
    <t>P-244032-X</t>
  </si>
  <si>
    <t>P-244040-X</t>
  </si>
  <si>
    <t>P-244050-X</t>
  </si>
  <si>
    <t>BSPCN12</t>
  </si>
  <si>
    <t>BSPCN34</t>
  </si>
  <si>
    <t>BSPCN1</t>
  </si>
  <si>
    <t>BSPCFLO12</t>
  </si>
  <si>
    <t>BSPCFLO34</t>
  </si>
  <si>
    <t>BSPCFLO1</t>
  </si>
  <si>
    <t>BSPCP12</t>
  </si>
  <si>
    <t>BSPCP34</t>
  </si>
  <si>
    <t>BSPCP1</t>
  </si>
  <si>
    <t>KIT2032-RO</t>
  </si>
  <si>
    <t>KIT2032-CP</t>
  </si>
  <si>
    <t>BRIDA40</t>
  </si>
  <si>
    <t>STEEL FLANGE</t>
  </si>
  <si>
    <t>BRIDA50</t>
  </si>
  <si>
    <t>BRIDA63</t>
  </si>
  <si>
    <t>BRIDA75</t>
  </si>
  <si>
    <t>BRIDA90</t>
  </si>
  <si>
    <t>BRIDA110</t>
  </si>
  <si>
    <t>BRIDA40-REV</t>
  </si>
  <si>
    <t>COATED STEEL FLANGE</t>
  </si>
  <si>
    <t>BRIDA50-REV</t>
  </si>
  <si>
    <t>BRIDA63-REV</t>
  </si>
  <si>
    <t>BRIDA75-REV</t>
  </si>
  <si>
    <t>BRIDA90-REV</t>
  </si>
  <si>
    <t>BRIDA110-REV</t>
  </si>
  <si>
    <t>BRIDA125-REV</t>
  </si>
  <si>
    <t>BRIDA160-REV</t>
  </si>
  <si>
    <t>BRIDA200-REV</t>
  </si>
  <si>
    <t>BRIDA250-REV</t>
  </si>
  <si>
    <t>BRIDA315-REV</t>
  </si>
  <si>
    <t>BRIDA355-REV</t>
  </si>
  <si>
    <t>BRIDA400-REV</t>
  </si>
  <si>
    <t>P-14020-RF</t>
  </si>
  <si>
    <t xml:space="preserve">RED FIRE PIPE ROMAKLIMA </t>
  </si>
  <si>
    <t>RED FIRE PIPE</t>
  </si>
  <si>
    <t>P-14025-RF</t>
  </si>
  <si>
    <t>P-14032-RF</t>
  </si>
  <si>
    <t>P-14040-RF</t>
  </si>
  <si>
    <t>P-14050-RF</t>
  </si>
  <si>
    <t>P-14063-RF</t>
  </si>
  <si>
    <t>P-14075-RF</t>
  </si>
  <si>
    <t>P-14090-RF</t>
  </si>
  <si>
    <t>P-140110-RF</t>
  </si>
  <si>
    <t>P-CT206020-RF</t>
  </si>
  <si>
    <t>RED FIRE EQUAL ELBOW</t>
  </si>
  <si>
    <t>RED FIRE FITTINGS</t>
  </si>
  <si>
    <t>P-CT206025-RF</t>
  </si>
  <si>
    <t>P-CT206032-RF</t>
  </si>
  <si>
    <t>P-206040-RF</t>
  </si>
  <si>
    <t>P-206050-RF</t>
  </si>
  <si>
    <t>P-206063-RF</t>
  </si>
  <si>
    <t>P-206075-RF</t>
  </si>
  <si>
    <t>P-206090-RF</t>
  </si>
  <si>
    <t>P-2060110-RF</t>
  </si>
  <si>
    <t>P-2060125-RF</t>
  </si>
  <si>
    <t>P-CT202020-RF</t>
  </si>
  <si>
    <t>RED FIRE OBTUSE ELBOW</t>
  </si>
  <si>
    <t>P-CT202025-RF</t>
  </si>
  <si>
    <t>P-CT202032-RF</t>
  </si>
  <si>
    <t>P-202040-RF</t>
  </si>
  <si>
    <t>P-202050-RF</t>
  </si>
  <si>
    <t>P-202063-RF</t>
  </si>
  <si>
    <t>P-202075-RF</t>
  </si>
  <si>
    <t>P-202090-RF</t>
  </si>
  <si>
    <t>P-2020110-RF</t>
  </si>
  <si>
    <t>P-2020125-RF</t>
  </si>
  <si>
    <t>P-CT208020-RF</t>
  </si>
  <si>
    <t>RED FIRE FEMALE THREADED ELBOW</t>
  </si>
  <si>
    <t>P-CT208025-RF</t>
  </si>
  <si>
    <t>P-CT208026-RF</t>
  </si>
  <si>
    <t>P-CT208033-RF</t>
  </si>
  <si>
    <t>P-CT208032-RF</t>
  </si>
  <si>
    <t>P-CT209020-RF</t>
  </si>
  <si>
    <t>RED FIRE MALE THREADED ELBOW</t>
  </si>
  <si>
    <t>P-CT209025-RF</t>
  </si>
  <si>
    <t>P-CT209026-RF</t>
  </si>
  <si>
    <t>P-CT209033-RF</t>
  </si>
  <si>
    <t>P-CT209032-RF</t>
  </si>
  <si>
    <t>RED FIRE FEMALE THREADE ELBOW WITH LOOSE NUT</t>
  </si>
  <si>
    <t>P-CT230020-RF</t>
  </si>
  <si>
    <t>RED FIRE EQUAL TEE</t>
  </si>
  <si>
    <t>P-CT230025-RF</t>
  </si>
  <si>
    <t>P-CT230032-RF</t>
  </si>
  <si>
    <t>P-230040-RF</t>
  </si>
  <si>
    <t>P-230050-RF</t>
  </si>
  <si>
    <t>P-230063-RF</t>
  </si>
  <si>
    <t>P-230075-RF</t>
  </si>
  <si>
    <t>P-230090-RF</t>
  </si>
  <si>
    <t>P-2300110-RF</t>
  </si>
  <si>
    <t>P-2300125-RF</t>
  </si>
  <si>
    <t>P-CT231020-RF</t>
  </si>
  <si>
    <t>RED FIRE REDUCING TEE</t>
  </si>
  <si>
    <t>P-CT231023-RF</t>
  </si>
  <si>
    <t>P-CT231025-RF</t>
  </si>
  <si>
    <t>P-231032-RF</t>
  </si>
  <si>
    <t>P-CT231033-RF</t>
  </si>
  <si>
    <t>P-231035-RF</t>
  </si>
  <si>
    <t>P-231041-RF</t>
  </si>
  <si>
    <t>40x20x40x</t>
  </si>
  <si>
    <t>P-231042-RF</t>
  </si>
  <si>
    <t>P-231043-RF</t>
  </si>
  <si>
    <t>P-231052-RF</t>
  </si>
  <si>
    <t>P-231053-RF</t>
  </si>
  <si>
    <t>P-231054-RF</t>
  </si>
  <si>
    <t>50x40x50x</t>
  </si>
  <si>
    <t>P-231062-RF</t>
  </si>
  <si>
    <t>P-231063-RF</t>
  </si>
  <si>
    <t>P-231064-RF</t>
  </si>
  <si>
    <t>P-231065-RF</t>
  </si>
  <si>
    <t>P-231074-RF</t>
  </si>
  <si>
    <t>P-231075-RF</t>
  </si>
  <si>
    <t>P-231076-RF</t>
  </si>
  <si>
    <t>P-231097-RF</t>
  </si>
  <si>
    <t>P-2310110-RF</t>
  </si>
  <si>
    <t>P-2310125-RF</t>
  </si>
  <si>
    <t>P-CT233020-RF</t>
  </si>
  <si>
    <t>RED FIRE MALE THREADED TEE</t>
  </si>
  <si>
    <t>P-CT233025-RF</t>
  </si>
  <si>
    <t>P-CT233026-RF</t>
  </si>
  <si>
    <t>P-CT233032-RF</t>
  </si>
  <si>
    <t>P-CT233033-RF</t>
  </si>
  <si>
    <t>P-CT232020-RF</t>
  </si>
  <si>
    <t>P-CT232025-RF</t>
  </si>
  <si>
    <t>P-CT232026-RF</t>
  </si>
  <si>
    <t>P-CT232032-RF</t>
  </si>
  <si>
    <t>P-CT232033-RF</t>
  </si>
  <si>
    <t>P-CT200020-RF</t>
  </si>
  <si>
    <t>RED FIRE STRAIGHT COUPLER</t>
  </si>
  <si>
    <t>P-CT200025-RF</t>
  </si>
  <si>
    <t>P-CT200032-RF</t>
  </si>
  <si>
    <t>P-200040-RF</t>
  </si>
  <si>
    <t>P-200050-RF</t>
  </si>
  <si>
    <t>P-200063-RF</t>
  </si>
  <si>
    <t>P-200075-RF</t>
  </si>
  <si>
    <t>P-200090-RF</t>
  </si>
  <si>
    <t>P-2000110-RF</t>
  </si>
  <si>
    <t>P-2000125-RF</t>
  </si>
  <si>
    <t>P-CT238025-RF</t>
  </si>
  <si>
    <t>RED FIRE REDUCING COUPLER</t>
  </si>
  <si>
    <t>P-CT238032-RF</t>
  </si>
  <si>
    <t>P-CT238033-RF</t>
  </si>
  <si>
    <t>P-238040-RF</t>
  </si>
  <si>
    <t>P-238041-RF</t>
  </si>
  <si>
    <t>P-238042-RF</t>
  </si>
  <si>
    <t>P-238051-RF</t>
  </si>
  <si>
    <t>P-238055-RF</t>
  </si>
  <si>
    <t>P-238052-RF</t>
  </si>
  <si>
    <t>P-238050-RF</t>
  </si>
  <si>
    <t>P-238062-RF</t>
  </si>
  <si>
    <t>P-238065-RF</t>
  </si>
  <si>
    <t>P-238063-RF</t>
  </si>
  <si>
    <t>P-238067-RF</t>
  </si>
  <si>
    <t>P-238075-RF</t>
  </si>
  <si>
    <t>P-238076-RF</t>
  </si>
  <si>
    <t>P-238096-RF</t>
  </si>
  <si>
    <t>P-238097-RF</t>
  </si>
  <si>
    <t>P-2380116-RF</t>
  </si>
  <si>
    <t>P-2380117-RF</t>
  </si>
  <si>
    <t>P-2380110-RF</t>
  </si>
  <si>
    <t>P-2380125-RF</t>
  </si>
  <si>
    <t>P-CT234020-RF</t>
  </si>
  <si>
    <t>RED FIRE FEMALE THREADED ADAPTER</t>
  </si>
  <si>
    <t>P-CT234025-RF</t>
  </si>
  <si>
    <t>P-CT234026-RF</t>
  </si>
  <si>
    <t>P-CT234033-RF</t>
  </si>
  <si>
    <t>P-CT234032-RF</t>
  </si>
  <si>
    <t>P-234040-RF</t>
  </si>
  <si>
    <t>P-234050-RF</t>
  </si>
  <si>
    <t>P-234063-RF</t>
  </si>
  <si>
    <t>P-234075-RF</t>
  </si>
  <si>
    <t>P-234090-RF</t>
  </si>
  <si>
    <t>P-2340110-RF</t>
  </si>
  <si>
    <t>P-CT325020-RF</t>
  </si>
  <si>
    <t>RED FIRE MALE THREADED ADAPTER</t>
  </si>
  <si>
    <t>P-CT325025-RF</t>
  </si>
  <si>
    <t>P-CT325026-RF</t>
  </si>
  <si>
    <t>P-CT325033-RF</t>
  </si>
  <si>
    <t>P-CT325032-RF</t>
  </si>
  <si>
    <t>P-325040-RF</t>
  </si>
  <si>
    <t>P-325050-RF</t>
  </si>
  <si>
    <t>P-325063-RF</t>
  </si>
  <si>
    <t>P-325075-RF</t>
  </si>
  <si>
    <t>P-325090-RF</t>
  </si>
  <si>
    <t>P-3250110-RF</t>
  </si>
  <si>
    <t>P-UC20-RF</t>
  </si>
  <si>
    <t>P-UC25-RF</t>
  </si>
  <si>
    <t>P-UC32-RF</t>
  </si>
  <si>
    <t>P-200063-D</t>
  </si>
  <si>
    <t>P-200020-RFDM</t>
  </si>
  <si>
    <t>RED FIRE MALE UNION</t>
  </si>
  <si>
    <t>P-200025-RFDM</t>
  </si>
  <si>
    <t>P-200032-RFDM</t>
  </si>
  <si>
    <t>P-200040-RFDM</t>
  </si>
  <si>
    <t>P-200050-RFDM</t>
  </si>
  <si>
    <t>P-200020-RFDH</t>
  </si>
  <si>
    <t>RED FIRE FEMALE UNION</t>
  </si>
  <si>
    <t>P-200025-RFDH</t>
  </si>
  <si>
    <t>P-200032-RFDH</t>
  </si>
  <si>
    <t>P-200040-RFDH</t>
  </si>
  <si>
    <t>P-200050-RFDH</t>
  </si>
  <si>
    <t>P-CT234020-RFL</t>
  </si>
  <si>
    <t>RED FIRE ADAPTER WITH LOOSE NUT</t>
  </si>
  <si>
    <t>P-CT234026-RFL</t>
  </si>
  <si>
    <t>P-CT234033-RFL</t>
  </si>
  <si>
    <t>P-234040-RFL</t>
  </si>
  <si>
    <t>P-234050-RFL</t>
  </si>
  <si>
    <t>P-234063-RFL</t>
  </si>
  <si>
    <t>P-234075-RFL</t>
  </si>
  <si>
    <t>P-242020-RF</t>
  </si>
  <si>
    <t>RED FIRE END CAP</t>
  </si>
  <si>
    <t>P-242025-RF</t>
  </si>
  <si>
    <t>P-242032-RF</t>
  </si>
  <si>
    <t>P-242040-RF</t>
  </si>
  <si>
    <t>P-242050-RF</t>
  </si>
  <si>
    <t>P-242063-RF</t>
  </si>
  <si>
    <t>P-242075-RF</t>
  </si>
  <si>
    <t>P-242090-RF</t>
  </si>
  <si>
    <t>P-2420110-RF</t>
  </si>
  <si>
    <t>P-2420125-RF</t>
  </si>
  <si>
    <t>P-480063-RF</t>
  </si>
  <si>
    <t>RED FIRE WELD IN SADDLE</t>
  </si>
  <si>
    <t>P-480064-RF</t>
  </si>
  <si>
    <t>P-480065-RF</t>
  </si>
  <si>
    <t>P-480110-RF</t>
  </si>
  <si>
    <t>P-480111-RF</t>
  </si>
  <si>
    <t>P-480112-RF</t>
  </si>
  <si>
    <t>P-490063-RF</t>
  </si>
  <si>
    <t>RED FIRE FEMALE WELD IN SADDLE</t>
  </si>
  <si>
    <t>P-490064-RF</t>
  </si>
  <si>
    <t>P-490111-RF</t>
  </si>
  <si>
    <t>P-PBRIDA40H-RF</t>
  </si>
  <si>
    <t>RED FIRE FEMALE FLANGE ADAPTER</t>
  </si>
  <si>
    <t>P-PBRIDA50H-RF</t>
  </si>
  <si>
    <t>P-PBRIDA63H-RF</t>
  </si>
  <si>
    <t>P-PBRIDA75H-RF</t>
  </si>
  <si>
    <t>P-PBRIDA90H-RF</t>
  </si>
  <si>
    <t>P-PBRIDA110H-RF</t>
  </si>
  <si>
    <t>P-PBRIDA125H-RF</t>
  </si>
  <si>
    <t>P-244020-RFX</t>
  </si>
  <si>
    <t>RED FIRE BALL VALVE</t>
  </si>
  <si>
    <t>RED FIRE VALVE</t>
  </si>
  <si>
    <t>P-244025-RFX</t>
  </si>
  <si>
    <t>P-244032-RFX</t>
  </si>
  <si>
    <t>P-244040-RFX</t>
  </si>
  <si>
    <t>P-244050-RFX</t>
  </si>
  <si>
    <t>BRIDA40-RF</t>
  </si>
  <si>
    <t>RED FIRE STEEL FLANGE</t>
  </si>
  <si>
    <t>RED FIRE FLANGE</t>
  </si>
  <si>
    <t>BRIDA50-RF</t>
  </si>
  <si>
    <t>BRIDA63-RF</t>
  </si>
  <si>
    <t>BRIDA75-RF</t>
  </si>
  <si>
    <t>BRIDA90-RF</t>
  </si>
  <si>
    <t>BRIDA110-RF</t>
  </si>
  <si>
    <t>BRIDA40-REVRF</t>
  </si>
  <si>
    <t>RED FIRE COATED STELL FLANGE</t>
  </si>
  <si>
    <t>BRIDA50-REVRF</t>
  </si>
  <si>
    <t>BRIDA63-REVRF</t>
  </si>
  <si>
    <t>BRIDA75-REVRF</t>
  </si>
  <si>
    <t>BRIDA90-REVRF</t>
  </si>
  <si>
    <t>BRIDA110-REVRF</t>
  </si>
  <si>
    <t>BRIDA125-REVRF</t>
  </si>
  <si>
    <t>15X1/2</t>
  </si>
  <si>
    <t>STAINLESS STEEL THREADED FITTING</t>
  </si>
  <si>
    <t>22X3/4</t>
  </si>
  <si>
    <t>28X1</t>
  </si>
  <si>
    <t>35X1 1/4</t>
  </si>
  <si>
    <t>42X1 1/2</t>
  </si>
  <si>
    <t>54X2</t>
  </si>
  <si>
    <t>15x1/2</t>
  </si>
  <si>
    <t>22x3/4</t>
  </si>
  <si>
    <t>28x1</t>
  </si>
  <si>
    <t>35x1.1/4</t>
  </si>
  <si>
    <t>42x1 1/2</t>
  </si>
  <si>
    <t>54x2</t>
  </si>
  <si>
    <t>22X1/2</t>
  </si>
  <si>
    <t>15X1/2X15</t>
  </si>
  <si>
    <t>PS4130G0220422</t>
  </si>
  <si>
    <t>22X1/2X22</t>
  </si>
  <si>
    <t>22X3/4X22</t>
  </si>
  <si>
    <t>28X1/2X28</t>
  </si>
  <si>
    <t>28X3/4X28</t>
  </si>
  <si>
    <t>28X1X28</t>
  </si>
  <si>
    <t>35X1/2X35</t>
  </si>
  <si>
    <t>35x3/4x35</t>
  </si>
  <si>
    <t>35X1 1/4X35</t>
  </si>
  <si>
    <t>42X1/2X42</t>
  </si>
  <si>
    <t>42x3/4x42</t>
  </si>
  <si>
    <t>42X1 1/2X42</t>
  </si>
  <si>
    <t>54X1/2X54</t>
  </si>
  <si>
    <t>54x3/4x54</t>
  </si>
  <si>
    <t>54X2X54</t>
  </si>
  <si>
    <t>PS4130G7606076</t>
  </si>
  <si>
    <t>76.1x3/4x76.1</t>
  </si>
  <si>
    <t>PS4130G7616076</t>
  </si>
  <si>
    <t>76.1x2x76.1</t>
  </si>
  <si>
    <t>88.9x3/4x88.9</t>
  </si>
  <si>
    <t>88.9x2x88.9</t>
  </si>
  <si>
    <t>108x3/4x108</t>
  </si>
  <si>
    <t>108x2x108</t>
  </si>
  <si>
    <t>22X1</t>
  </si>
  <si>
    <t>28X3/4</t>
  </si>
  <si>
    <t>35x1 1/4</t>
  </si>
  <si>
    <t>76.1 x 2 1/2</t>
  </si>
  <si>
    <t>88.9 x 3</t>
  </si>
  <si>
    <t>PS4243G1082800</t>
  </si>
  <si>
    <t>108x4</t>
  </si>
  <si>
    <t>76.1x2 1/2</t>
  </si>
  <si>
    <t>88.9x3</t>
  </si>
  <si>
    <t>15x3/4</t>
  </si>
  <si>
    <t>22x1</t>
  </si>
  <si>
    <t>42x1.1/2</t>
  </si>
  <si>
    <t>28x1.1/4</t>
  </si>
  <si>
    <t>35x1.1/2</t>
  </si>
  <si>
    <t>15×15×15</t>
  </si>
  <si>
    <t>22×22×22</t>
  </si>
  <si>
    <t>28×28×28</t>
  </si>
  <si>
    <t>35×35×35</t>
  </si>
  <si>
    <t>42×42×42</t>
  </si>
  <si>
    <t>54×54×54</t>
  </si>
  <si>
    <t>76.1x76.1x76.1</t>
  </si>
  <si>
    <t>88.9x88.9x88.9</t>
  </si>
  <si>
    <t>PS5130 108108108</t>
  </si>
  <si>
    <t>108x108x108</t>
  </si>
  <si>
    <t>22×15×22</t>
  </si>
  <si>
    <t>28×15×28</t>
  </si>
  <si>
    <t>28×22×28</t>
  </si>
  <si>
    <t>35×15×35</t>
  </si>
  <si>
    <t>35×22×35</t>
  </si>
  <si>
    <t>35×28×35</t>
  </si>
  <si>
    <t>42×22×42</t>
  </si>
  <si>
    <t>42×28×42</t>
  </si>
  <si>
    <t>42×35×42</t>
  </si>
  <si>
    <t>54×22×54</t>
  </si>
  <si>
    <t>54×28×54</t>
  </si>
  <si>
    <t>54×35×54</t>
  </si>
  <si>
    <t>54×42×54</t>
  </si>
  <si>
    <t>108x22x108</t>
  </si>
  <si>
    <t>108x28x108</t>
  </si>
  <si>
    <t>108x35x108</t>
  </si>
  <si>
    <t>108x42x108</t>
  </si>
  <si>
    <t>108x54x108</t>
  </si>
  <si>
    <t>22×15</t>
  </si>
  <si>
    <t>28×15</t>
  </si>
  <si>
    <t>28×22</t>
  </si>
  <si>
    <t>35×22</t>
  </si>
  <si>
    <t>35×28</t>
  </si>
  <si>
    <t>42×28</t>
  </si>
  <si>
    <t>42×35</t>
  </si>
  <si>
    <t>54×28</t>
  </si>
  <si>
    <t>54×35</t>
  </si>
  <si>
    <t>54×42</t>
  </si>
  <si>
    <t>PS5243 0762800</t>
  </si>
  <si>
    <t>108x54</t>
  </si>
  <si>
    <t>ULTRA SILENT MULTI FLOOR TRAP</t>
  </si>
  <si>
    <t>MULTI FLOOR TRAP WITH RING</t>
  </si>
  <si>
    <t>Standard Series Press Jaws U 16 MM</t>
  </si>
  <si>
    <t>Standard Series Press Jaws U 20 MM</t>
  </si>
  <si>
    <t>Standard Series Press Jaws U 25 MM</t>
  </si>
  <si>
    <t>Standard Series Press Jaws U 32 MM</t>
  </si>
  <si>
    <t>Standard Series Press Jaws U 40 MM</t>
  </si>
  <si>
    <t>Standard Series Press Jaws V 15 MM</t>
  </si>
  <si>
    <t>Standard Series Press Jaws V 22 MM</t>
  </si>
  <si>
    <t>Standard Series Press Jaws V 28 MM</t>
  </si>
  <si>
    <t>Standard Series Press Jaws V 35 MM</t>
  </si>
  <si>
    <t>Standard Series Press Jaws V42 MM</t>
  </si>
  <si>
    <t>Standard Series Press Jaws V54 MM</t>
  </si>
  <si>
    <t>MANUAL PRESS TOOL - 360° ROTATING HEAD</t>
  </si>
  <si>
    <t>MLCP PRESS TOOL</t>
  </si>
  <si>
    <t>PRESS TOOL JAW</t>
  </si>
  <si>
    <t>LIP SEAL RING</t>
  </si>
  <si>
    <t xml:space="preserve">PO Date: </t>
  </si>
  <si>
    <t>SALES ORDER FORM</t>
  </si>
  <si>
    <t>P0500000000040K</t>
  </si>
  <si>
    <t>HT PRO REDUCER BUSHING</t>
  </si>
  <si>
    <t>COCENTRIC REDUCER</t>
  </si>
  <si>
    <t>P07500000050K</t>
  </si>
  <si>
    <t>P1100000000050V</t>
  </si>
  <si>
    <t>P1100000000075V</t>
  </si>
  <si>
    <t>HAND PRESS TOOL WITH JAW</t>
  </si>
  <si>
    <t>Bitrix Deal ID:</t>
  </si>
  <si>
    <t>MALE FEMALE CONNECTOR</t>
  </si>
  <si>
    <t>JT-1632B</t>
  </si>
  <si>
    <t>JT-1632</t>
  </si>
  <si>
    <t>PS4355 0280800</t>
  </si>
  <si>
    <t>Standard Series Press Jaws U 50 MM</t>
  </si>
  <si>
    <t>U50</t>
  </si>
  <si>
    <t>PZ-1550U</t>
  </si>
  <si>
    <t>U63</t>
  </si>
  <si>
    <t>ADAPTER U63</t>
  </si>
  <si>
    <t>PZ-1550V</t>
  </si>
  <si>
    <t>Standard Series Press Jaws U 63 MM</t>
  </si>
  <si>
    <t>Adaptor for U 63 PRESS JAW</t>
  </si>
  <si>
    <t>MANUAL PRESS TOOL</t>
  </si>
  <si>
    <t>MLCP PRESS TOOL WITH U DIES</t>
  </si>
  <si>
    <t>PRESS TOOL ADAPTER U63</t>
  </si>
  <si>
    <t>MLCP PRESS TOOL WITH V DIES</t>
  </si>
  <si>
    <t>ADAPTER</t>
  </si>
  <si>
    <t>PRESS TOOL WITH U DIES</t>
  </si>
  <si>
    <t>PRESS TOOL WITH V DIES</t>
  </si>
  <si>
    <t>CALIBRAES-S32</t>
  </si>
  <si>
    <t>CALIBRAES-S63</t>
  </si>
  <si>
    <t>END CAP BRASS 25 MM</t>
  </si>
  <si>
    <t>FIBER PIPE SDR 11 - 250x22.7 - PP-R 125 GREEN</t>
  </si>
  <si>
    <t>ELBOW 45º PP-RCT 125 Ø 20 - GREEN</t>
  </si>
  <si>
    <t>ELBOW 45º PP-RCT 125 Ø 25 - GREEN</t>
  </si>
  <si>
    <t>ELBOW 45º PP-RCT 125 Ø 32 - GREEN</t>
  </si>
  <si>
    <t>ELBOW 45º PP-R Ø 40 - GREEN</t>
  </si>
  <si>
    <t>ELBOW 45º PP-R Ø 50 - GREEN</t>
  </si>
  <si>
    <t>ELBOW 45º PP-R Ø 63 - GREEN</t>
  </si>
  <si>
    <t>ELBOW 45º PP-R Ø 75 - GREEN</t>
  </si>
  <si>
    <t>ELBOW 45º PP-R Ø 90 - GREEN</t>
  </si>
  <si>
    <t>ELBOW 45º PP-R Ø 110 - GREEN</t>
  </si>
  <si>
    <t>ELBOW 45º PP-R Ø 125 - GREEN</t>
  </si>
  <si>
    <t>ELBOW 45º XL PP-R Ø 160 - GREEN</t>
  </si>
  <si>
    <t>ELBOW 45º XL PP-RCT 125 SDR 11 Ø 200 - GREEN</t>
  </si>
  <si>
    <t>ELBOW 45º XL PP-RCT 125 SDR 11 Ø 250 - GREEN</t>
  </si>
  <si>
    <t>ELBOW 45º XL PP-RCT 125 SDR 11 Ø 315 - GREEN</t>
  </si>
  <si>
    <t>CT2020355</t>
  </si>
  <si>
    <t>ELBOW 45º XL PP-RCT 125 SDR 11 Ø 355 - GREEN</t>
  </si>
  <si>
    <t>ELBOW 90º PP-RCT 125 Ø 20 - GREEN</t>
  </si>
  <si>
    <t>ELBOW 90º PP-RCT 125 Ø 25 - GREEN</t>
  </si>
  <si>
    <t>ELBOW 90º PP-RCT 125 Ø 32 - GREEN</t>
  </si>
  <si>
    <t>ELBOW 90º PP-R Ø 40 - GREEN</t>
  </si>
  <si>
    <t>ELBOW 90º PP-R Ø 50 - GREEN</t>
  </si>
  <si>
    <t>ELBOW 90º PP-R Ø 63 - GREEN</t>
  </si>
  <si>
    <t>ELBOW 90º PP-R Ø 75 - GREEN</t>
  </si>
  <si>
    <t>ELBOW 90º PP-R Ø 90 - GREEN</t>
  </si>
  <si>
    <t>ELBOW 90º PP-R Ø 110 - GREEN</t>
  </si>
  <si>
    <t>ELBOW 90º PP-R Ø 125 - GREEN</t>
  </si>
  <si>
    <t>ELBOW 90º XL PP-R Ø 160 - GREEN</t>
  </si>
  <si>
    <t>ELBOW 90º XL PP-RCT 125 SDR 11 Ø 200 - GREEN</t>
  </si>
  <si>
    <t>ELBOW 90º XL PP-R CT 125 SDR 11 Ø 250 - GREEN</t>
  </si>
  <si>
    <t>ELBOW 90º XL PP-RCT 125 SDR 11 Ø 315 - GREEN</t>
  </si>
  <si>
    <t>CT2060355</t>
  </si>
  <si>
    <t>ELBOW 90º XL PP-RCT 125 SDR 11 Ø 355 - GREEN</t>
  </si>
  <si>
    <t>CT2060400</t>
  </si>
  <si>
    <t>ELBOW 90º XL PP-RCT 125 SDR 11 Ø 400 - GREEN</t>
  </si>
  <si>
    <t>FEMALE ELBOW PP-RCT 125 Ø 20x1/2" - GREEN</t>
  </si>
  <si>
    <t>FEMALE ELBOW PP-RCT 125 Ø 25x3/4" - GREEN</t>
  </si>
  <si>
    <t>FEMALE ELBOW PP-RCT 125 Ø 25x1/2" - GREEN</t>
  </si>
  <si>
    <t>FEMALE ELBOW PP-RCT 125 Ø 32x1" - GREEN</t>
  </si>
  <si>
    <t>FEMALE ELBOW PP-RCT 125 Ø 32x3/4" - GREEN</t>
  </si>
  <si>
    <t>MALE ELBOW PP-RCT 125 Ø 20x1/2" - GREEN</t>
  </si>
  <si>
    <t>MALE ELBOW PP-RCT 125 Ø 25x3/4" - GREEN</t>
  </si>
  <si>
    <t>MALE ELBOW PP-RCT 125 Ø 25x1/2" - GREEN</t>
  </si>
  <si>
    <t>MALE ELBOW PP-RCT 125 Ø 32x1" - GREEN</t>
  </si>
  <si>
    <t>MALE ELBOW PP-RCT 125 Ø 32x3/4" - GREEN</t>
  </si>
  <si>
    <t>LOOSE NUT ELBOW PP-RCT 125 Ø 20x3/4" - GREEN</t>
  </si>
  <si>
    <t>LOOSE NUT ELBOW PP-RCT 125 Ø 25x1" - GREEN</t>
  </si>
  <si>
    <t>LOOSE NUT ELBOW PP-RCT 125 Ø 25x3/4" - GREEN</t>
  </si>
  <si>
    <t>LOOSE NUT ELBOW PP-RCT 125 Ø 32x11/4" - GREEN</t>
  </si>
  <si>
    <t>LOOSE NUT ELBOW PP-RCT 125 Ø 32x1" - GREEN</t>
  </si>
  <si>
    <t>WALL PLATE FEMALE ELBOW PP-R Ø 20x1/2" - GREEN</t>
  </si>
  <si>
    <t>WALL PLATE FEMALE ELBOW PP-R Ø 25x1/2" - GREEN</t>
  </si>
  <si>
    <t>WALL PLATE FEMALE ELBOW PP-R Ø 25x3/4" - GREEN</t>
  </si>
  <si>
    <t>TEE PP-RCT 125 Ø 20 - GREEN</t>
  </si>
  <si>
    <t>TEE PP-RCT 125 Ø 25 - GREEN</t>
  </si>
  <si>
    <t>TEE PP-RCT 125 Ø 32 - GREEN</t>
  </si>
  <si>
    <t>TEE PP-R Ø 40 - GREEN</t>
  </si>
  <si>
    <t>TEE PP-R Ø 63 - GREEN</t>
  </si>
  <si>
    <t>TEE PP-R Ø 75 - GREEN</t>
  </si>
  <si>
    <t>TEE PP-R Ø 90 - GREEN</t>
  </si>
  <si>
    <t>TEE PP-R Ø 110 - GREEN</t>
  </si>
  <si>
    <t>TEE PP-R Ø 125 - GREEN</t>
  </si>
  <si>
    <t>TEE XL PP-R Ø 160 - GREEN</t>
  </si>
  <si>
    <t>TEE XL PP-RCT 125 SDR 11 Ø 200 - GREEN</t>
  </si>
  <si>
    <t>TEE XL PP-RCT 125 SDR 11 Ø 250 - GREEN</t>
  </si>
  <si>
    <t>TEE XL PP-RCT 125 SDR 11 Ø 315 - GREEN</t>
  </si>
  <si>
    <t>TEE XL PP-RCT 125 SDR 11 Ø 355 - GREEN</t>
  </si>
  <si>
    <t>TEE XL PP-RCT 125 SDR 11 Ø 400 - GREEN</t>
  </si>
  <si>
    <t>REDUCED TEE PP-RCT 125 Ø 25x20x20 - GREEN</t>
  </si>
  <si>
    <t>REDUCED TEE PP-RCT 125 Ø 25x25x20 - GREEN</t>
  </si>
  <si>
    <t>REDUCED TEE PP-RCT 125 Ø 25x20x25 - GREEN</t>
  </si>
  <si>
    <t>REDUCED TEE PP-RCT 125 Ø 32x25x32 - GREEN</t>
  </si>
  <si>
    <t>P-231032</t>
  </si>
  <si>
    <t>REDUCED TEE PP-R Ø 32x20x32 - GREEN</t>
  </si>
  <si>
    <t>P-231035</t>
  </si>
  <si>
    <t>REDUCED TEE PP-R Ø 32x25x25 - GREEN</t>
  </si>
  <si>
    <t>REDUCED TEE PP-R Ø 40x20x40 - GREEN</t>
  </si>
  <si>
    <t>REDUCED TEE PP-R Ø 40x25x40 - GREEN</t>
  </si>
  <si>
    <t>REDUCED TEE PP-R Ø 40x32x40 - GREEN</t>
  </si>
  <si>
    <t>REDUCED TEE PP-R Ø 50x25x50 - GREEN</t>
  </si>
  <si>
    <t>REDUCED TEE PP-R Ø 50x32x50 - GREEN</t>
  </si>
  <si>
    <t>REDUCED TEE PP-R Ø 50x40x50 - GREEN</t>
  </si>
  <si>
    <t>REDUCED TEE PP-R Ø 63x25x63 - GREEN</t>
  </si>
  <si>
    <t>REDUCED TEE PP-R Ø 63x32x63 - GREEN</t>
  </si>
  <si>
    <t>REDUCED TEE PP-R Ø 63x40x63 - GREEN</t>
  </si>
  <si>
    <t>REDUCED TEE PP-R Ø 63x50x63 - GREEN</t>
  </si>
  <si>
    <t>REDUCED TEE PP-R Ø 75x40x75 - GREEN</t>
  </si>
  <si>
    <t>REDUCED TEE PP-R Ø 75x50x75 - GREEN</t>
  </si>
  <si>
    <t>REDUCED TEE PP-R Ø 75x63x75 - GREEN</t>
  </si>
  <si>
    <t>REDUCED TEE PP-R Ø 90x75x90 - GREEN</t>
  </si>
  <si>
    <t>REDUCED TEE PP-R Ø110x90x110 - GREEN</t>
  </si>
  <si>
    <t>REDUCED TEE PP-R Ø125x110x125 - GREEN</t>
  </si>
  <si>
    <t>FEMALE TEE PP-RCT 125 Ø 20x1/2" - GREEN</t>
  </si>
  <si>
    <t>FEMALE TEE PP-RCT 125 Ø 25x3/4" - GREEN</t>
  </si>
  <si>
    <t>FEMALE TEE PP-RCT 125 Ø 25x1/2" - GREEN</t>
  </si>
  <si>
    <t>FEMALE TEE PP-RCT 125 Ø 32x1" - GREEN</t>
  </si>
  <si>
    <t>FEMALE TEE PP-RCT 125 Ø 32x3/4" - GREEN</t>
  </si>
  <si>
    <t>MALE TEE PP-RCT 125 Ø 20x1/2" - GREEN</t>
  </si>
  <si>
    <t>MALE TEE PP-RCT 125 Ø 25x3/4" - GREEN</t>
  </si>
  <si>
    <t>MALE TEE PP-RCT 125 Ø 25x1/2" - GREEN</t>
  </si>
  <si>
    <t>MALE TEE PP-RCT 125 Ø 32x1" - GREEN</t>
  </si>
  <si>
    <t>MALE TEE PP-RCT 125 Ø 32x3/4" - GREEN</t>
  </si>
  <si>
    <t>UNION PP-RCT 125 Ø 20 - GREEN</t>
  </si>
  <si>
    <t>UNION PP-RCT 125 Ø 25 - GREEN</t>
  </si>
  <si>
    <t>UNION PP-RCT 125 Ø 32 - GREEN</t>
  </si>
  <si>
    <t>UNION PP-R Ø 40 - GREEN</t>
  </si>
  <si>
    <t>UNION PP-R Ø 50 - GREEN</t>
  </si>
  <si>
    <t>UNION PP-R Ø 63 - GREEN</t>
  </si>
  <si>
    <t>UNION PP-R Ø 75 - GREEN</t>
  </si>
  <si>
    <t>UNION PP-R Ø 90 - GREEN</t>
  </si>
  <si>
    <t>UNION PP-R Ø 110 - GREEN</t>
  </si>
  <si>
    <t>UNION PP-R Ø 125 - GREEN</t>
  </si>
  <si>
    <t>REDUCER UNION PP-RCT 125 Ø 25x20 - GREEN</t>
  </si>
  <si>
    <t>REDUCER UNION PP-RCT 125 Ø 32x20 - GREEN</t>
  </si>
  <si>
    <t>REDUCER UNION PP-RCT 125 Ø 32x25 - GREEN</t>
  </si>
  <si>
    <t>REDUCER UNION PP-R Ø 40x20 - GREEN</t>
  </si>
  <si>
    <t>REDUCER UNION PP-R Ø 40x25 - GREEN</t>
  </si>
  <si>
    <t>REDUCER UNION PP-R Ø 40x32 - GREEN</t>
  </si>
  <si>
    <t>REDUCER UNION PP-R Ø 50x40 - GREEN</t>
  </si>
  <si>
    <t>REDUCER UNION PP-R Ø 50x20 - GREEN</t>
  </si>
  <si>
    <t>REDUCER UNION PP-R Ø 50x32 - GREEN</t>
  </si>
  <si>
    <t>REDUCER UNION PP-R Ø 50x25 - GREEN</t>
  </si>
  <si>
    <t>REDUCER UNION PP-R Ø 63x25 - GREEN</t>
  </si>
  <si>
    <t>REDUCER UNION PP-R Ø 63x40 - GREEN</t>
  </si>
  <si>
    <t>REDUCER UNION PP-R Ø 63x32 - GREEN</t>
  </si>
  <si>
    <t>REDUCER UNION PP-R Ø 63x50 - GREEN</t>
  </si>
  <si>
    <t>REDUCER UNION PP-R Ø 75x50 - GREEN</t>
  </si>
  <si>
    <t>REDUCER UNION PP-R Ø 75x63 - GREEN</t>
  </si>
  <si>
    <t>REDUCER UNION PP-R Ø 90x63 - GREEN</t>
  </si>
  <si>
    <t>REDUCER UNION PP-R Ø 90x75 - GREEN</t>
  </si>
  <si>
    <t>REDUCER UNION PP-R Ø 110x90 - GREEN</t>
  </si>
  <si>
    <t>REDUCER UNION PP-R Ø 110x63 - GREEN</t>
  </si>
  <si>
    <t>REDUCER UNION PP-R Ø 110x75 - GREEN</t>
  </si>
  <si>
    <t>REDUCER UNION PP-R Ø 125x110 - GREEN</t>
  </si>
  <si>
    <t>REDUCER UNION XL PP-R Ø 160x110 - GREEN</t>
  </si>
  <si>
    <t>REDUCER UNION PP-R Ø 160x125 - GREEN</t>
  </si>
  <si>
    <t>CT2380200</t>
  </si>
  <si>
    <t>REDUCER UNION PP-RCT 125 SDR 11 Ø 200x160 - GREEN</t>
  </si>
  <si>
    <t>CT2380250</t>
  </si>
  <si>
    <t>REDUCER UNION PP-RCT 125 SDR 11 Ø 250x160 - GREEN</t>
  </si>
  <si>
    <t>CT2380251</t>
  </si>
  <si>
    <t>REDUCER UNION PP-RCT 125 SDR 11 Ø 250x200 - GREEN</t>
  </si>
  <si>
    <t>CT2380315</t>
  </si>
  <si>
    <t>REDUCER UNION PP-RCT 125 SDR 11 Ø 315x200 - GREEN</t>
  </si>
  <si>
    <t>CT2380316</t>
  </si>
  <si>
    <t>REDUCER UNION PP-RCT 125 SDR 11 Ø 315x250 - GREEN</t>
  </si>
  <si>
    <t>FEMALE UNION PP-RCT 125 Ø 20x1/2" - GREEN</t>
  </si>
  <si>
    <t>FEMALE UNION PP-RCT 125 Ø 25x3/4" - GREEN</t>
  </si>
  <si>
    <t>FEMALE UNION PP-RCT 125 Ø 25x1/2" - GREEN</t>
  </si>
  <si>
    <t>FEMALE UNION PP-RCT 125 Ø 32x1" - GREEN</t>
  </si>
  <si>
    <t>FEMALE UNION PP-RCT 125 Ø 32x3/4" - GREEN</t>
  </si>
  <si>
    <t>FEMALE UNION PP-R Ø 40x11/4" - GREEN</t>
  </si>
  <si>
    <t>FEMALE UNION PP-R Ø 50x11/2" - GREEN</t>
  </si>
  <si>
    <t>FEMALE UNION PP-R Ø Ø 63x2" - GREEN</t>
  </si>
  <si>
    <t>FEMALE UNION PP-R Ø 75x21/2" -  GREEN</t>
  </si>
  <si>
    <t>FEMALE UNION PP-R Ø 90x3"- GREEN</t>
  </si>
  <si>
    <t>MALE UNION PP-RCT 125 Ø 20x1/2" - GREEN</t>
  </si>
  <si>
    <t>MALE UNION PP-RCT 125 Ø 25x3/4" - GREEN</t>
  </si>
  <si>
    <t>MALE UNION PP-RCT 125 Ø 25x1/2" - GREEN</t>
  </si>
  <si>
    <t>MALE UNION PP-RCT 125 Ø 32x1" - GREEN</t>
  </si>
  <si>
    <t>MALE UNION PP-RCT 125 Ø 32x3/4" - GREEN</t>
  </si>
  <si>
    <t>MALE UNION PP-R Ø 40x11/4" - GREEN</t>
  </si>
  <si>
    <t>MALE UNION PP-R Ø 50x11/2" - GREEN</t>
  </si>
  <si>
    <t>MALE UNION PP-R Ø 63x2" - GREEN</t>
  </si>
  <si>
    <t>MALE UNION PP-R Ø 75x21/2" - GREEN</t>
  </si>
  <si>
    <t>MALE UNION PP-R Ø 90x3" - GREEN</t>
  </si>
  <si>
    <t>MALE UNION PP-R Ø 110x4" - GREEN</t>
  </si>
  <si>
    <t>P-CT234020-L</t>
  </si>
  <si>
    <t>LOOSE NUT UNION PP-RCT 125 Ø 20x3/4" - GREEN</t>
  </si>
  <si>
    <t>P-CT234025-L</t>
  </si>
  <si>
    <t>LOOSE NUT UNION PP-RCT 125 Ø 25x1" - GREEN</t>
  </si>
  <si>
    <t>P-CT234026-L</t>
  </si>
  <si>
    <t>LOOSE NUT UNION PP-RCT 125 Ø 25x3/4" - GREEN</t>
  </si>
  <si>
    <t>P-CT234032-L</t>
  </si>
  <si>
    <t>LOOSE NUT UNION PP-RCT 125 Ø 32x11/4" - GREEN</t>
  </si>
  <si>
    <t>P-CT234033-L</t>
  </si>
  <si>
    <t>LOOSE NUT UNION PP-RCT 125 Ø 32x1" - GREEN</t>
  </si>
  <si>
    <t>LOOSE NUT UNION PP-R Ø 40x11/2" - GREEN</t>
  </si>
  <si>
    <t>LOOSE NUT UNION PP-R Ø 50x2" - GREEN</t>
  </si>
  <si>
    <t>LOOSE NUT UNION PP-R Ø 63x21/2" - GREEN</t>
  </si>
  <si>
    <t>LOOSE NUT UNION PP-R Ø 75x3" - GREEN</t>
  </si>
  <si>
    <t>BRASS FEMALE UNION PP-R Ø 20x1/2" - GREEN</t>
  </si>
  <si>
    <t>BRASS FEMALE UNION PP-R Ø 25x3/4" - GREEN</t>
  </si>
  <si>
    <t>BRASS FEMALE UNION PP-R Ø 32x1" - GREEN</t>
  </si>
  <si>
    <t>BRASS FEMALE UNION PP-R Ø 40x11/4" - GREEN</t>
  </si>
  <si>
    <t>BRASS FEMALE UNION PP-R Ø 50x11/2" - GREEN</t>
  </si>
  <si>
    <t>BRASS MALE UNION PP-R Ø 20x1/2" - GREEN</t>
  </si>
  <si>
    <t>BRASS MALE UNION PP-R Ø 25x3/4" - GREEN</t>
  </si>
  <si>
    <t>BRASS MALE UNION PP-R Ø 32x1" - GREEN</t>
  </si>
  <si>
    <t>BRASS MALE UNION PP-R Ø 40x11/4" - GREEN</t>
  </si>
  <si>
    <t>BRASS MALE UNION PP-R Ø 50x11/2" - GREEN</t>
  </si>
  <si>
    <t>UNIVERSAL UNION PP-R Ø 20 - GREEN</t>
  </si>
  <si>
    <t>UNIVERSAL UNION PP-R Ø 25 - GREEN</t>
  </si>
  <si>
    <t>UNIVERSAL UNION PP-R Ø 32 - GREEN</t>
  </si>
  <si>
    <t>UNIVERSAL UNION PP-R Ø 40 - GREEN</t>
  </si>
  <si>
    <t>UNIVERSAL UNION PP-R Ø 50 - GREEN</t>
  </si>
  <si>
    <t>UNIVERSAL UNION PP-R Ø 63 - GREEN</t>
  </si>
  <si>
    <t>WELD IN SADDLE PP-R Ø 63-75-90x20 - GREEN</t>
  </si>
  <si>
    <t>WELD IN SADDLE PP-R Ø 63-75-90x25 - GREEN</t>
  </si>
  <si>
    <t>WELD IN SADDLE PP-R Ø 63-75-90x32 - GREEN</t>
  </si>
  <si>
    <t>WELD IN SADDLE PP-R Ø 110-125-160x20 - GREEN</t>
  </si>
  <si>
    <t>WELD IN SADDLE PP-R Ø 110-125-160x25 - GREEN</t>
  </si>
  <si>
    <t>WELD IN SADDLE PP-R Ø 110-125-160x32 - GREEN</t>
  </si>
  <si>
    <t>WELD IN SADDLE FEMALE PP-R Ø 63-75-90x1/2" - GREEN</t>
  </si>
  <si>
    <t>WELD IN SADDLE FEMALE PP-R Ø 63-75-90x3/4" - GREEN</t>
  </si>
  <si>
    <t>WELD IN SADDLE FEMALE PP-R Ø 110-125-160x1/2" - GREEN</t>
  </si>
  <si>
    <t>WELD IN SADDLE FEMALE PP-R Ø 110-125-160x3/4" - GREEN</t>
  </si>
  <si>
    <t>WELD IN SADDLE MALE PP-R Ø 63-75-90x1/2" - GREEN</t>
  </si>
  <si>
    <t>WELD IN SADDLE MALE PP-R Ø 63-75-90x3/4" - GREEN</t>
  </si>
  <si>
    <t>WELD IN SADDLE MALE PP-R Ø 110-125-160x1/2" - GREEN</t>
  </si>
  <si>
    <t>WELD IN SADDLE MALE PP-R Ø 110-125-160x3/4" - GREEN</t>
  </si>
  <si>
    <t>STOP VALVE PP-R Ø 20x1/2" - GREEN</t>
  </si>
  <si>
    <t>STOP VALVE PP-R Ø 25x3/4" - GREEN</t>
  </si>
  <si>
    <t>STOP VALVE PP-R Ø 32x1" - GREEN</t>
  </si>
  <si>
    <t>WHEEL VALVE PP-R Ø 20 - GREEN</t>
  </si>
  <si>
    <t>WHEEL VALVE PP-R Ø 25 - GREEN</t>
  </si>
  <si>
    <t>WHEEL VALVE PP-R Ø 32 - GREEN</t>
  </si>
  <si>
    <t>HANDLE VALVE PP-R Ø20 - GREEN</t>
  </si>
  <si>
    <t>HANDLE VALVE PP-R Ø25 - GREEN</t>
  </si>
  <si>
    <t>HANDLE VALVE PP-R Ø32 - GREEN</t>
  </si>
  <si>
    <t>CONCEALED VALVE PP-R Ø 20 - GREEN</t>
  </si>
  <si>
    <t>CONCEALED VALVE PP-R Ø 25 - GREEN</t>
  </si>
  <si>
    <t>CONCEALED VALVE PP-R Ø 32 - GREEN</t>
  </si>
  <si>
    <t>244020-EI</t>
  </si>
  <si>
    <t>BALL VALVE PP-R Ø 20 - GREEN</t>
  </si>
  <si>
    <t>244025-EI</t>
  </si>
  <si>
    <t>BALL VALVE PP-R Ø 25 - GREEN</t>
  </si>
  <si>
    <t>244032-EI</t>
  </si>
  <si>
    <t>BALL VALVE PP-R Ø 32 - GREEN</t>
  </si>
  <si>
    <t>244040-EI</t>
  </si>
  <si>
    <t>BALL VALVE PP-R Ø 40 - GREEN</t>
  </si>
  <si>
    <t>244050-EI</t>
  </si>
  <si>
    <t>BALL VALVE PP-R Ø 50 - GREEN</t>
  </si>
  <si>
    <t>244063-EI</t>
  </si>
  <si>
    <t>BALL VALVE PP-R Ø 63 - GREEN</t>
  </si>
  <si>
    <t>244075-EI</t>
  </si>
  <si>
    <t>BALL VALVE PP-R Ø 75 - GREEN</t>
  </si>
  <si>
    <t>244090-EI</t>
  </si>
  <si>
    <t>BALL VALVE PP-R Ø 90 - GREEN</t>
  </si>
  <si>
    <t>2440110-EI</t>
  </si>
  <si>
    <t>BALL VALVE PP-R Ø 110 - GREEN</t>
  </si>
  <si>
    <t>2440125-EI</t>
  </si>
  <si>
    <t>BALL VALVE PP-R Ø 125 - GREEN</t>
  </si>
  <si>
    <t>DEMOUNTABLE VALVE PP-R Ø 20 - GREEN</t>
  </si>
  <si>
    <t>DEMOUNTABLE VALVE PP-R Ø 25 - GREEN</t>
  </si>
  <si>
    <t>DEMOUNTABLE VALVE PP-R Ø 32 - GREEN</t>
  </si>
  <si>
    <t>DEMOUNTABLE VALVE PP-R Ø 40 - GREEN</t>
  </si>
  <si>
    <t>DEMOUNTABLE VALVE PP-R Ø 50 - GREEN</t>
  </si>
  <si>
    <t>CONCEALED VALVE KIT EXTENDER 25MM</t>
  </si>
  <si>
    <t>HANDLE VALVE KIT EXTENDER 25MM</t>
  </si>
  <si>
    <t>FULL VALVE MECHANISM 1/2"</t>
  </si>
  <si>
    <t>FULL VALVE MECHANISM 3/4"</t>
  </si>
  <si>
    <t>FULL VALVE MECHANISM 1"</t>
  </si>
  <si>
    <t>VALVE W/ HANDLE MECHANISM 1/2"</t>
  </si>
  <si>
    <t>VALVE W/ HANDLE MECHANISM 3/4"</t>
  </si>
  <si>
    <t>VALVE W/ HANDLE MECHANISM 1"</t>
  </si>
  <si>
    <t>WHEEL MECHANISM 1/2"</t>
  </si>
  <si>
    <t>WHEEL MECHANISM 3/4"</t>
  </si>
  <si>
    <t>WHEEL MECHANISM 1"</t>
  </si>
  <si>
    <t>FEMALE FLANGE ADAPTOR PP-R Ø 40 - GREEN</t>
  </si>
  <si>
    <t>FEMALE FLANGE ADAPTOR PP-R Ø 50 - GREEN</t>
  </si>
  <si>
    <t>FEMALE FLANGE ADAPTOR PP-R Ø 63 - GREEN</t>
  </si>
  <si>
    <t>FEMALE FLANGE ADAPTOR PP-R Ø 75 - GREEN</t>
  </si>
  <si>
    <t>FEMALE FLANGE ADAPTOR PP-R Ø 90 - GREEN</t>
  </si>
  <si>
    <t>FEMALE FLANGE ADAPTOR PP-R Ø 110 - GREEN</t>
  </si>
  <si>
    <t>FEMALE FLANGE ADAPTOR PP-R Ø 125 - GREEN</t>
  </si>
  <si>
    <t>FLANGE ADAPTOR XL PP-R Ø 160 - GREEN</t>
  </si>
  <si>
    <t>FLANGE ADAPTOR XL PP-RCT 125 SDR 11 Ø 200 - GREEN</t>
  </si>
  <si>
    <t>FLANGE ADAPTOR XL PP-RCT 125 SDR 11 Ø 250 - GREEN</t>
  </si>
  <si>
    <t>FLANGE ADAPTOR XL PP-RCT 125 SDR 11 Ø 315 - GREEN</t>
  </si>
  <si>
    <t>FLANGE ADAPTOR XL PP-RCT 125 SDR 11 Ø 355 - GREEN</t>
  </si>
  <si>
    <t>FLANGE ADAPTOR XL PP-RCT 125 SDR 11 Ø 400 - GREEN</t>
  </si>
  <si>
    <t>P-PBRIDA160-VB</t>
  </si>
  <si>
    <t>FLANGE FOR VALVE PP-R Ø160 - GREEN</t>
  </si>
  <si>
    <t>CTPBRIDA200-VB</t>
  </si>
  <si>
    <t>FLANGE FOR VALVE PP-RCT 125 Ø 200 - GREEN</t>
  </si>
  <si>
    <t>CTPBRIDA250-VB</t>
  </si>
  <si>
    <t>FLANGE FOR VALVE PP-RCT 125 Ø 250 - GREEN</t>
  </si>
  <si>
    <t>CTPBRIDA315-VB</t>
  </si>
  <si>
    <t>FLANGE FOR VALVE PP-RCT 125 Ø 315 - GREEN</t>
  </si>
  <si>
    <t>CTPBRIDA355-VB</t>
  </si>
  <si>
    <t>FLANGE FOR VALVE PP-RCT 125 Ø 355 - GREEN</t>
  </si>
  <si>
    <t>STEEL FLANGE Ø 40</t>
  </si>
  <si>
    <t>STEEL FLANGE Ø 50</t>
  </si>
  <si>
    <t>STEEL FLANGE Ø 63</t>
  </si>
  <si>
    <t>STEEL FLANGE Ø 75</t>
  </si>
  <si>
    <t>STEEL FLANGE Ø 90</t>
  </si>
  <si>
    <t>STEEL FLANGE Ø 110</t>
  </si>
  <si>
    <t>COATED STEEL FLANGE Ø 40</t>
  </si>
  <si>
    <t>COATED STEEL FLANGE Ø 50</t>
  </si>
  <si>
    <t>COATED STEEL FLANGE Ø 63</t>
  </si>
  <si>
    <t>COATED STEEL FLANGE Ø 75</t>
  </si>
  <si>
    <t>COATED STEEL FLANGE Ø 90</t>
  </si>
  <si>
    <t>COATED STEEL FLANGE Ø 110</t>
  </si>
  <si>
    <t>COATED STEEL FLANGE Ø 125</t>
  </si>
  <si>
    <t>COATED STEEL FLANGE Ø 160</t>
  </si>
  <si>
    <t>COATED STEEL FLANGE Ø 200</t>
  </si>
  <si>
    <t>COATED STEEL FLANGE Ø 250</t>
  </si>
  <si>
    <t>COATED STEEL FLANGE Ø 315</t>
  </si>
  <si>
    <t>COATED STEEL FLANGE Ø 355</t>
  </si>
  <si>
    <t>COATED STEEL FLANGE Ø 400</t>
  </si>
  <si>
    <t>CLAMP PP-R Ø 20 - GREEN</t>
  </si>
  <si>
    <t>CLAMP PP-R Ø 25 - GREEN</t>
  </si>
  <si>
    <t>CLAMP PP-R Ø 32 - GREEN</t>
  </si>
  <si>
    <t>CLAMP PP-R Ø 40 - GREEN</t>
  </si>
  <si>
    <t>END CAP PP-R Ø 20 - GREEN</t>
  </si>
  <si>
    <t>END CAP PP-R Ø 25 - GREEN</t>
  </si>
  <si>
    <t>END CAP PP-R Ø 32 - GREEN</t>
  </si>
  <si>
    <t>END CAP PP-R Ø 40 - GREEN</t>
  </si>
  <si>
    <t>END CAP PP-R Ø 50 - GREEN</t>
  </si>
  <si>
    <t>END CAP PP-R Ø 63 - GREEN</t>
  </si>
  <si>
    <t>END CAP PP-R Ø 75 - GREEN</t>
  </si>
  <si>
    <t>END CAP PP-R Ø 90 - GREEN</t>
  </si>
  <si>
    <t>END CAP PP-R Ø 110 - GREEN</t>
  </si>
  <si>
    <t>END CAP PP-R Ø 125 - GREEN</t>
  </si>
  <si>
    <t>END CAP XL PP-R Ø 160 - GREEN</t>
  </si>
  <si>
    <t>END CAP XL PP-RCT 125 Ø 200 - GREEN</t>
  </si>
  <si>
    <t>END CAP XL PP-RCT 125 Ø 250 - GREEN</t>
  </si>
  <si>
    <t>END CAP XL PP-RCT 125 Ø 315 - GREEN</t>
  </si>
  <si>
    <t>P-237020</t>
  </si>
  <si>
    <t>THREADED END CAP PP-R Ø 1/2" - GREEN</t>
  </si>
  <si>
    <t>P-237025</t>
  </si>
  <si>
    <t>THREADED END CAP PP-R Ø 3/4" - GREEN</t>
  </si>
  <si>
    <t>BRIDGE PP-R Ø 20 - GREEN</t>
  </si>
  <si>
    <t>BRIDGE PP-R Ø 25 - GREEN</t>
  </si>
  <si>
    <t>BRIDGE PP-R Ø 32 - GREEN</t>
  </si>
  <si>
    <t>P-4501</t>
  </si>
  <si>
    <t>REPAIR PIN PP-R Ø 7/11 MM - VERT</t>
  </si>
  <si>
    <t>ES202063</t>
  </si>
  <si>
    <t>ELECTROFUSION ELBOW 45º PP-R Ø 63 - GREEN</t>
  </si>
  <si>
    <t>ES202075</t>
  </si>
  <si>
    <t>ELECTROFUSION ELBOW 45º PP-R Ø 75 - GREEN</t>
  </si>
  <si>
    <t>ES202090</t>
  </si>
  <si>
    <t>ELECTROFUSION ELBOW 45º PP-R Ø 90 - GREEN</t>
  </si>
  <si>
    <t>ES2020110</t>
  </si>
  <si>
    <t>ELECTROFUSION ELBOW 45º PP-R Ø 110 - GREEN</t>
  </si>
  <si>
    <t>ES2020125</t>
  </si>
  <si>
    <t>ELECTROFUSION ELBOW 45º PP-R Ø 125 - GREEN</t>
  </si>
  <si>
    <t>ES2020160</t>
  </si>
  <si>
    <t>ELECTROFUSION ELBOW 45º PP-R Ø 160 - GREEN</t>
  </si>
  <si>
    <t>ES206063</t>
  </si>
  <si>
    <t>ELECTROFUSION ELBOW 90º PP-R Ø 63 - GREEN</t>
  </si>
  <si>
    <t>ES206075</t>
  </si>
  <si>
    <t>ELECTROFUSION ELBOW 90º PP-R Ø 75 - GREEN</t>
  </si>
  <si>
    <t>ES206090</t>
  </si>
  <si>
    <t>ELECTROFUSION ELBOW 90º PP-R Ø 90 - GREEN</t>
  </si>
  <si>
    <t>ES2060110</t>
  </si>
  <si>
    <t>ELECTROFUSION ELBOW 90º PP-R Ø 110 - GREEN</t>
  </si>
  <si>
    <t>ES2060125</t>
  </si>
  <si>
    <t>ELECTROFUSION ELBOW 90º PP-R Ø 125 - GREEN</t>
  </si>
  <si>
    <t>ES2060160</t>
  </si>
  <si>
    <t>ELECTROFUSION ELBOW 90º PP-R Ø 160 - GREEN</t>
  </si>
  <si>
    <t>ES230063</t>
  </si>
  <si>
    <t>ELECTROFUSION TEE PP-R Ø 63 - GREEN</t>
  </si>
  <si>
    <t>ES230075</t>
  </si>
  <si>
    <t>ELECTROFUSION TEE PP-R Ø 75 - GREEN</t>
  </si>
  <si>
    <t>ES230090</t>
  </si>
  <si>
    <t>ELECTROFUSION TEE PP-R Ø 90 - GREEN</t>
  </si>
  <si>
    <t>ES2300110</t>
  </si>
  <si>
    <t>ELECTROFUSION TEE PP-R Ø 110 - GREEN</t>
  </si>
  <si>
    <t>ES2300125</t>
  </si>
  <si>
    <t>ELECTROFUSION TEE PP-R Ø 125 - GREEN</t>
  </si>
  <si>
    <t>ES2300160</t>
  </si>
  <si>
    <t>ELECTROFUSION TEE PP-R Ø 160 - GREEN</t>
  </si>
  <si>
    <t>ES200025</t>
  </si>
  <si>
    <t>ELECTROFUSION SOCKET PP-R Ø 25 - GREEN</t>
  </si>
  <si>
    <t>ES200032</t>
  </si>
  <si>
    <t>ELECTROFUSION SOCKET PP-R Ø 32 - GREEN</t>
  </si>
  <si>
    <t>ES200040</t>
  </si>
  <si>
    <t>ELECTROFUSION SOCKET PP-R Ø 40 - GREEN</t>
  </si>
  <si>
    <t>ES200050</t>
  </si>
  <si>
    <t>ELECTROFUSION SOCKET PP-R Ø 50 - GREEN</t>
  </si>
  <si>
    <t>ES200063</t>
  </si>
  <si>
    <t>ELECTROFUSION SOCKET PP-R Ø 63 - GREEN</t>
  </si>
  <si>
    <t>ES200075</t>
  </si>
  <si>
    <t>ELECTROFUSION SOCKET PP-R Ø 75 - GREEN</t>
  </si>
  <si>
    <t>ES200090</t>
  </si>
  <si>
    <t>ELECTROFUSION SOCKET PP-R Ø 90 - GREEN</t>
  </si>
  <si>
    <t>ES2000110</t>
  </si>
  <si>
    <t>ELECTROFUSION SOCKET PP-R Ø 110 - GREEN</t>
  </si>
  <si>
    <t>ES2000125</t>
  </si>
  <si>
    <t>ELECTROFUSION SOCKET PP-R Ø 125 - GREEN</t>
  </si>
  <si>
    <t>ES2000160</t>
  </si>
  <si>
    <t>ELECTROFUSION SOCKET PP-R Ø 160 - GREEN</t>
  </si>
  <si>
    <t>ES2000200</t>
  </si>
  <si>
    <t>ELECTROFUSION SOCKET PP-R Ø 200 - GREEN</t>
  </si>
  <si>
    <t>ES2000250</t>
  </si>
  <si>
    <t>ELECTROFUSION SOCKET PP-R Ø 250 - GREEN</t>
  </si>
  <si>
    <t>ES2000315</t>
  </si>
  <si>
    <t>ELECTROFUSION SOCKET PP-R Ø 315 - GREEN</t>
  </si>
  <si>
    <t>ES238063</t>
  </si>
  <si>
    <t>ELECTROFUSION REDUCER PP-R Ø 63x40 - GREEN</t>
  </si>
  <si>
    <t>ES238065</t>
  </si>
  <si>
    <t>ELECTROFUSION REDUCER PP-R Ø 63x32 - GREEN</t>
  </si>
  <si>
    <t>ES238067</t>
  </si>
  <si>
    <t>ELECTROFUSION REDUCER PP-R Ø 63x50 - GREEN</t>
  </si>
  <si>
    <t>ES238076</t>
  </si>
  <si>
    <t>ELECTROFUSION REDUCER PP-R Ø 75x63 - GREEN</t>
  </si>
  <si>
    <t>ES238096</t>
  </si>
  <si>
    <t>ELECTROFUSION REDUCER PP-R Ø 90x63 - GREEN</t>
  </si>
  <si>
    <t>ES2380110</t>
  </si>
  <si>
    <t>ELECTROFUSION REDUCER PP-R Ø 110x90 - GREEN</t>
  </si>
  <si>
    <t>ES2380116</t>
  </si>
  <si>
    <t>ELECTROFUSION REDUCER PP-R Ø 110x63 - GREEN</t>
  </si>
  <si>
    <t>ES2380117</t>
  </si>
  <si>
    <t>ELECTROFUSION REDUCER PP-R Ø 110x75 - GREEN</t>
  </si>
  <si>
    <t>ES2380126</t>
  </si>
  <si>
    <t>ELECTROFUSION REDUCER PP-R Ø 125x90 - GREEN</t>
  </si>
  <si>
    <t>ES2380161</t>
  </si>
  <si>
    <t>ELECTROFUSION REDUCER PP-R Ø 160x110 - GREEN</t>
  </si>
  <si>
    <t>32x11/4</t>
  </si>
  <si>
    <t>TEE PP-R Ø 50 - GREEN</t>
  </si>
  <si>
    <t>75x2'1/2</t>
  </si>
  <si>
    <t>40x1'1/4</t>
  </si>
  <si>
    <t>50x1'1/2</t>
  </si>
  <si>
    <t>40x1'1/2</t>
  </si>
  <si>
    <t>PP-R ELECTROFUSION FITTINGS</t>
  </si>
  <si>
    <t>END CAP BRASS 20 MM</t>
  </si>
  <si>
    <t>K244016-ES</t>
  </si>
  <si>
    <t>BALL VALVE 16 - KLIMAPRESS</t>
  </si>
  <si>
    <t>MLCP FITTINGS BRASS</t>
  </si>
  <si>
    <t>K244020-ES</t>
  </si>
  <si>
    <t>BALL VALVE 20 - KLIMAPRESS</t>
  </si>
  <si>
    <t>K244025-ES</t>
  </si>
  <si>
    <t>BALL VALVE 25 - KLIMAPRESS</t>
  </si>
  <si>
    <t>K244032-ES</t>
  </si>
  <si>
    <t>BALL VALVE 32 - KLIMAPRESS</t>
  </si>
  <si>
    <t>PS‐1632B</t>
  </si>
  <si>
    <t>DEBURRING TOOL</t>
  </si>
  <si>
    <t>MANUAL PIPE DEBURRING TOOL 16 to 32 MM</t>
  </si>
  <si>
    <t>P-140125-RF</t>
  </si>
  <si>
    <t>P-140160-RF</t>
  </si>
  <si>
    <t>ELBOW 45º REDFIRE Ø 20 - RED</t>
  </si>
  <si>
    <t>ELBOW 45º REDFIRE Ø 25 - RED</t>
  </si>
  <si>
    <t>ELBOW 45º REDFIRE Ø 32 - RED</t>
  </si>
  <si>
    <t>ELBOW 45º REDFIRE Ø 40 - RED</t>
  </si>
  <si>
    <t>ELBOW 45º REDFIRE Ø 50 - RED</t>
  </si>
  <si>
    <t>ELBOW 45º REDFIRE Ø 63 - RED</t>
  </si>
  <si>
    <t>ELBOW 45º REDFIRE Ø 75 - RED</t>
  </si>
  <si>
    <t>ELBOW 45º REDFIRE Ø 90 - RED</t>
  </si>
  <si>
    <t>ELBOW 45º REDFIRE Ø 110 - RED</t>
  </si>
  <si>
    <t>ELBOW 45º REDFIRE Ø 125 - RED</t>
  </si>
  <si>
    <t>P-2020160-RF</t>
  </si>
  <si>
    <t>ELBOW 45º REDFIRE Ø 160 - RED</t>
  </si>
  <si>
    <t>ELBOW 90º REDFIRE Ø 20 - RED</t>
  </si>
  <si>
    <t>ELBOW 90º REDFIRE Ø 25 - RED</t>
  </si>
  <si>
    <t>ELBOW 90º REDFIRE Ø 32 - RED</t>
  </si>
  <si>
    <t>ELBOW 90º REDFIRE Ø 40 - RED</t>
  </si>
  <si>
    <t>ELBOW 90º REDFIRE Ø 50 - RED</t>
  </si>
  <si>
    <t>ELBOW 90º REDFIRE Ø 63 - RED</t>
  </si>
  <si>
    <t>ELBOW 90º REDFIRE Ø 75 - RED</t>
  </si>
  <si>
    <t>ELBOW 90º REDFIRE Ø 90 - RED</t>
  </si>
  <si>
    <t>ELBOW 90º REDFIRE Ø 110 - RED</t>
  </si>
  <si>
    <t>ELBOW 90º REDFIRE Ø 125 - RED</t>
  </si>
  <si>
    <t>P-2060160-RF</t>
  </si>
  <si>
    <t>ELBOW 90º REDFIRE Ø 160 - RED</t>
  </si>
  <si>
    <t>FEMALE ELBOW REDFIRE Ø 20x1/2" - RED</t>
  </si>
  <si>
    <t>FEMALE ELBOW REDFIRE Ø 25x3/4" - RED</t>
  </si>
  <si>
    <t>FEMALE ELBOW REDFIRE Ø 25x1/2" - RED</t>
  </si>
  <si>
    <t>FEMALE ELBOW REDFIRE Ø 32x1" - RED</t>
  </si>
  <si>
    <t>FEMALE ELBOW REDFIRE Ø 32x3/4" - RED</t>
  </si>
  <si>
    <t>MALE ELBOW REDFIRE Ø 20x1/2" - RED</t>
  </si>
  <si>
    <t>MALE ELBOW REDFIRE Ø 25x3/4" - RED</t>
  </si>
  <si>
    <t>MALE ELBOW REDFIRE Ø 25x1/2" - RED</t>
  </si>
  <si>
    <t>MALE ELBOW REDFIRE Ø 32x1" - RED</t>
  </si>
  <si>
    <t>MALE ELBOW REDFIRE Ø 32x3/4" - RED</t>
  </si>
  <si>
    <t>P-CT208020-RFL</t>
  </si>
  <si>
    <t>LOOSE NUT ELBOW REDFIRE Ø 20x3/4" - RED</t>
  </si>
  <si>
    <t>P-CT208025-RFL</t>
  </si>
  <si>
    <t>LOOSE NUT ELBOW REDFIRE Ø 25x1" - RED</t>
  </si>
  <si>
    <t>P-CT208026-RFL</t>
  </si>
  <si>
    <t>LOOSE NUT ELBOW REDFIRE Ø 25x3/4" - RED</t>
  </si>
  <si>
    <t>P-CT208032-RFL</t>
  </si>
  <si>
    <t>LOOSE NUT ELBOW REDFIRE Ø 32x11/4" - RED</t>
  </si>
  <si>
    <t>P-CT208033-RFL</t>
  </si>
  <si>
    <t>LOOSE NUT ELBOW REDFIRE Ø 32x1" - RED</t>
  </si>
  <si>
    <t>TEE REDFIRE Ø 20 - RED</t>
  </si>
  <si>
    <t>TEE REDFIRE Ø 25 - RED</t>
  </si>
  <si>
    <t>TEE REDFIRE Ø 32 - RED</t>
  </si>
  <si>
    <t>TEE REDFIRE Ø 40 - RED</t>
  </si>
  <si>
    <t>TEE REDFIRE Ø 50 - RED</t>
  </si>
  <si>
    <t>TEE REDFIRE Ø 63 - RED</t>
  </si>
  <si>
    <t>TEE REDFIRE Ø 75 - RED</t>
  </si>
  <si>
    <t>TEE REDFIRE Ø 90 - RED</t>
  </si>
  <si>
    <t>TEE REDFIRE Ø 110 - RED</t>
  </si>
  <si>
    <t>TEE REDFIRE Ø 125 - RED</t>
  </si>
  <si>
    <t>P-2300160-RF</t>
  </si>
  <si>
    <t>TEE REDFIRE Ø 160 - RED</t>
  </si>
  <si>
    <t>REDUCED TEE REDFIRE Ø 25x20x20 - RED</t>
  </si>
  <si>
    <t>REDUCED TEE REDFIRE Ø 25x25x20 - RED</t>
  </si>
  <si>
    <t>REDUCED TEE REDFIRE Ø 25x20x25 - RED</t>
  </si>
  <si>
    <t>REDUCED TEE REDFIRE Ø 32x25x32 - RED</t>
  </si>
  <si>
    <t>REDUCED TEE REDFIRE Ø 32x20x32 - RED</t>
  </si>
  <si>
    <t>REDUCED TEE REDFIRE Ø 32x25x25 - RED</t>
  </si>
  <si>
    <t>REDUCED TEE REDFIRE Ø 40x20x40 - RED</t>
  </si>
  <si>
    <t>REDUCED TEE REDFIRE Ø 40x25x40 - RED</t>
  </si>
  <si>
    <t>REDUCED TEE REDFIRE Ø 40x32x40 - RED</t>
  </si>
  <si>
    <t>REDUCED TEE REDFIRE Ø 50x25x50 - RED</t>
  </si>
  <si>
    <t>REDUCED TEE REDFIRE Ø 50x32x50 - RED</t>
  </si>
  <si>
    <t>REDUCED TEE REDFIRE Ø 50x40x50 - RED</t>
  </si>
  <si>
    <t>REDUCED TEE REDFIRE Ø 63x25x63 - RED</t>
  </si>
  <si>
    <t>REDUCED TEE REDFIRE Ø 63x32x63 - RED</t>
  </si>
  <si>
    <t>REDUCED TEE REDFIRE Ø 63x40x63 - RED</t>
  </si>
  <si>
    <t>REDUCED TEE REDFIRE Ø 63x50x63 - RED</t>
  </si>
  <si>
    <t>REDUCED TEE REDFIRE Ø 75x40x75 - RED</t>
  </si>
  <si>
    <t>REDUCED TEE REDFIRE Ø 75x50x75 - RED</t>
  </si>
  <si>
    <t>REDUCED TEE REDFIRE Ø 75x63x75 - RED</t>
  </si>
  <si>
    <t>REDUCED TEE REDFIRE Ø 90x75x90 - RED</t>
  </si>
  <si>
    <t>REDUCED TEE REDFIRE Ø 110x90x110 - RED</t>
  </si>
  <si>
    <t>REDUCED TEE REDFIRE Ø125x110x125 - RED</t>
  </si>
  <si>
    <t>FEMALE TEE REDFIRE Ø 20x1/2" - RED</t>
  </si>
  <si>
    <t>FEMALE TEE REDFIRE Ø 25x3/4" - RED</t>
  </si>
  <si>
    <t>FEMALE TEE REDFIRE Ø 25x1/2" - RED</t>
  </si>
  <si>
    <t>FEMALE TEE REDFIRE Ø 32x1" - RED</t>
  </si>
  <si>
    <t>FEMALE TEE REDFIRE Ø 32x3/4" - RED</t>
  </si>
  <si>
    <t>MALE TEE REDFIRE Ø 20x1/2" - RED</t>
  </si>
  <si>
    <t>MALE TEE REDFIRE Ø 25x3/4" - RED</t>
  </si>
  <si>
    <t>MALE TEE REDFIRE Ø 25x1/2" - RED</t>
  </si>
  <si>
    <t>MALE TEE REDFIRE Ø 32x1" - RED</t>
  </si>
  <si>
    <t>MALE TEE REDFIRE Ø 32x3/4" - RED</t>
  </si>
  <si>
    <t>P-2380160-RF</t>
  </si>
  <si>
    <t>P-CT234025-RFL</t>
  </si>
  <si>
    <t>P-CT234032-RFL</t>
  </si>
  <si>
    <t>BRASS FEMALE UNION REDFIRE Ø 20x1/2" - RED</t>
  </si>
  <si>
    <t>BRASS FEMALE UNION REDFIRE Ø 25x3/4" - RED</t>
  </si>
  <si>
    <t>BRASS FEMALE UNION REDFIRE Ø 32x1" - RED</t>
  </si>
  <si>
    <t>BRASS FEMALE UNION REDFIRE Ø 40x11/4" - RED</t>
  </si>
  <si>
    <t>BRASS FEMALE UNION REDFIRE Ø 50x11/2" - RED</t>
  </si>
  <si>
    <t>BRASS MALE UNION REDFIRE Ø 20x1/2" - RED</t>
  </si>
  <si>
    <t>BRASS MALE UNION REDFIRE Ø 25x3/4" - RED</t>
  </si>
  <si>
    <t>BRASS MALE UNION REDFIRE Ø 32x1" - RED</t>
  </si>
  <si>
    <t>BRASS MALE UNION REDFIRE Ø 40x11/4" - RED</t>
  </si>
  <si>
    <t>BRASS MALE UNION REDFIRE Ø 50x11/2" - RED</t>
  </si>
  <si>
    <t>P-200020-RFD</t>
  </si>
  <si>
    <t>UNIVERSAL UNION REDFIRE Ø 20 - RED</t>
  </si>
  <si>
    <t>P-200025-RFD</t>
  </si>
  <si>
    <t>UNIVERSAL UNION REDFIRE Ø 25 - RED</t>
  </si>
  <si>
    <t>P-200032-RFD</t>
  </si>
  <si>
    <t>UNIVERSAL UNION REDFIRE Ø 32 - RED</t>
  </si>
  <si>
    <t>P-200040-RFD</t>
  </si>
  <si>
    <t>UNIVERSAL UNION REDFIRE Ø 40 - RED</t>
  </si>
  <si>
    <t>P-200050-RFD</t>
  </si>
  <si>
    <t>UNIVERSAL UNION REDFIRE Ø 50 - RED</t>
  </si>
  <si>
    <t>WELD-IN SADDLE REDFIRE Ø 63/75/90x20 - RED</t>
  </si>
  <si>
    <t>WELD-IN SADDLE REDFIRE Ø 63/75/90x25 - RED</t>
  </si>
  <si>
    <t>WELD-IN SADDLE REDFIRE Ø 63/75/90x32 - RED</t>
  </si>
  <si>
    <t>WELD-IN SADDLE REDFIRE Ø 110/125/160x20 - RED</t>
  </si>
  <si>
    <t>WELD-IN SADDLE REDFIRE Ø 110/125/160x25 - RED</t>
  </si>
  <si>
    <t>WELD-IN SADDLE REDFIRE Ø 110/125/160x32 - RED</t>
  </si>
  <si>
    <t>WELD-IN SADDLE FEMALE REDFIRE Ø 63/75/90x1/2</t>
  </si>
  <si>
    <t>WELD-IN SADDLE FEMALE REDFIRE Ø 63/75/90x3/4</t>
  </si>
  <si>
    <t>WELD-IN SADDLE FEMALE REDFIRE Ø 110/125/160x</t>
  </si>
  <si>
    <t>FEMALE FLANGE ADAPTOR REDFIRE Ø 40 - RED</t>
  </si>
  <si>
    <t>FEMALE FLANGE ADAPTOR REDFIRE Ø 50 - RED</t>
  </si>
  <si>
    <t>FEMALE FLANGE ADAPTOR REDFIRE Ø 63 - RED</t>
  </si>
  <si>
    <t>FEMALE FLANGE ADAPTOR REDFIRE Ø 75 - RED</t>
  </si>
  <si>
    <t>FEMALE FLANGE ADAPTOR REDFIRE Ø 90 - RED</t>
  </si>
  <si>
    <t>FEMALE FLANGE ADAPTOR REDFIRE Ø 110 - RED</t>
  </si>
  <si>
    <t>FEMALE FLANGE ADAPTOR REDFIRE Ø 125 - RED</t>
  </si>
  <si>
    <t>END CAP REDFIRE Ø 20 - RED</t>
  </si>
  <si>
    <t>END CAP REDFIRE Ø 25 - RED</t>
  </si>
  <si>
    <t>END CAP REDFIRE Ø 32 - RED</t>
  </si>
  <si>
    <t>END CAP REDFIRE Ø 40 - RED</t>
  </si>
  <si>
    <t>END CAP REDFIRE Ø 50 - RED</t>
  </si>
  <si>
    <t>END CAP REDFIRE Ø 63 - RED</t>
  </si>
  <si>
    <t>END CAP REDFIRE Ø 75 - RED</t>
  </si>
  <si>
    <t>END CAP REDFIRE Ø 90 - RED</t>
  </si>
  <si>
    <t>END CAP REDFIRE Ø 110 - RED</t>
  </si>
  <si>
    <t>END CAP REDFIRE Ø 125 - RED</t>
  </si>
  <si>
    <t>P-2420160-RF</t>
  </si>
  <si>
    <t>END CAP REDFIRE Ø 160 - RED</t>
  </si>
  <si>
    <t>BRIDGE REDFIRE Ø 20 - RED</t>
  </si>
  <si>
    <t>BRIDGE REDFIRE Ø 25 - RED</t>
  </si>
  <si>
    <t>BRIDGE REDFIRE Ø 32 - RED</t>
  </si>
  <si>
    <t>DEMOUNTABLE VALVE REDFIRE Ø 20x1/2"- RED</t>
  </si>
  <si>
    <t>DEMOUNTABLE VALVE REDFIRE Ø 25x3/4" - RED</t>
  </si>
  <si>
    <t>DEMOUNTABLE VALVE REDFIRE Ø 32x1" - RED</t>
  </si>
  <si>
    <t>DEMOUNTABLE VALVE REDFIRE Ø 40x11/4" - RED</t>
  </si>
  <si>
    <t>DEMOUNTABLE VALVE REDFIRE Ø 50x11/2" - RED</t>
  </si>
  <si>
    <t>RED FIRE FEMALE THREADED TEE</t>
  </si>
  <si>
    <t>RED FIRE UNIVERSAL UNION</t>
  </si>
  <si>
    <t>RED FIRE CROSS OVER BEND</t>
  </si>
  <si>
    <t xml:space="preserve">32x1 </t>
  </si>
  <si>
    <t>40x11/4</t>
  </si>
  <si>
    <t>50x11/2</t>
  </si>
  <si>
    <t>75x21/2</t>
  </si>
  <si>
    <t>40x11/2</t>
  </si>
  <si>
    <t>63x21/2</t>
  </si>
  <si>
    <t xml:space="preserve">MULTILAYER PIPE PE-RT/AL/PERT HELIKLIMA 16x2.0 </t>
  </si>
  <si>
    <t xml:space="preserve">MULTILAYER PIPE PE-RT/AL/PERT HELIKLIMA 20x2.0 </t>
  </si>
  <si>
    <t xml:space="preserve">MULTILAYER PIPE PE-RT/AL/PERT HELIKLIMA  25x2.5 </t>
  </si>
  <si>
    <t xml:space="preserve">MULTILAYER PIPE PE-RT/AL/PERT HELIKLIMA 32x3.0 </t>
  </si>
  <si>
    <t>P-PERTAL40-B5</t>
  </si>
  <si>
    <t xml:space="preserve">MULTILAYER PIPE PE-RT/AL/PERT HELIKLIMA 40x4.0 </t>
  </si>
  <si>
    <t>P-PERTAL50-B5</t>
  </si>
  <si>
    <t xml:space="preserve">MULTILAYER PIPE PE-RT/AL/PERT HELIKLIMA 50x4.5 </t>
  </si>
  <si>
    <t>P-PERTAL63-B5</t>
  </si>
  <si>
    <t xml:space="preserve">MULTILAYER PIPE PE-RT/AL/PERT HELIKLIMA 63x6.0 </t>
  </si>
  <si>
    <t>PERTAL75-B5</t>
  </si>
  <si>
    <t xml:space="preserve">MULTILAYER PIPE PE-RT/AL/PERT HELIKLIMA 75x7.5 </t>
  </si>
  <si>
    <t>PERTAL90-B5</t>
  </si>
  <si>
    <t xml:space="preserve">MULTILAYER PIPE PE-RT/AL/PERT HELIKLIMA 90x8.5 </t>
  </si>
  <si>
    <t>PERTAL110-B5</t>
  </si>
  <si>
    <t xml:space="preserve">MULTILAYER PIPE PE-RT/AL/PERT HELIKLIMA 110x10.0 </t>
  </si>
  <si>
    <t>PERT-AL-PERT PIPE ISL 6 BL 16x2.0 - 50 MT (COIL)</t>
  </si>
  <si>
    <t>PERT-AL-PERT PIPE ISL 6 BL 20x2.0 - 50 MT (COIL)</t>
  </si>
  <si>
    <t>PERT-AL-PERT PIPE ISL 10 BL 25x2.5 - 25 MT (COIL)</t>
  </si>
  <si>
    <t>PERT-AL-PERT PIPE ISL 10 BL 32x3.0 - 25 MT (COIL)</t>
  </si>
  <si>
    <t>FEMALE THREADED ADAPTER 16x1/2 - KLIMAPRESS</t>
  </si>
  <si>
    <t>FEMALE THREADED ADAPTER 20x1/2 - KLIMAPRESS</t>
  </si>
  <si>
    <t>FEMALE THREADED ADAPTER 20x3/4 - KLIMAPRESS</t>
  </si>
  <si>
    <t>FEMALE THREADED ADAPTER 25x1/2 - KLIMAPRESS</t>
  </si>
  <si>
    <t>FEMALE THREADED ADAPTER 25x3/4 - KLIMAPRESS</t>
  </si>
  <si>
    <t>FEMALE THREADED ADAPTER 25x1 - KLIMAPRESS</t>
  </si>
  <si>
    <t>FEMALE THREADED ADAPTER 32x3/4 - KLIMAPRESS</t>
  </si>
  <si>
    <t>FEMALE THREADED ADAPTER 32x1 - KLIMAPRESS</t>
  </si>
  <si>
    <t>MALE THREADED ADAPTER  16x1/2 - KLIMAPRESS</t>
  </si>
  <si>
    <t>MALE THREADED ADAPTER  20x1/2 - KLIMAPRESS</t>
  </si>
  <si>
    <t>MALE THREADED ADAPTER  20x3/4 - KLIMAPRESS</t>
  </si>
  <si>
    <t>MALE THREADED ADAPTER  25x1/2 - KLIMAPRESS</t>
  </si>
  <si>
    <t>MALE THREADED ADAPTER  25x3/4 - KLIMAPRESS</t>
  </si>
  <si>
    <t>MALE THREADED ADAPTER  25x1 - KLIMAPRESS</t>
  </si>
  <si>
    <t>MALE THREADED ADAPTER  32x3/4 - KLIMAPRESS</t>
  </si>
  <si>
    <t>MALE THREADED ADAPTER  32x1 - KLIMAPRESS</t>
  </si>
  <si>
    <t>MALE THREADED ADAPTER  40x1'1/4 - KLIMAPRESS</t>
  </si>
  <si>
    <t>MALE THREADED ADAPTER  50x1'1/2 - KLIMAPRESS</t>
  </si>
  <si>
    <t>MALE THREADED ADAPTER  63x2 - KLIMAPRESS</t>
  </si>
  <si>
    <t>MALE THREADED ADAPTER  75x2'1/2 - KLIMAPRESS</t>
  </si>
  <si>
    <t>K325090-I</t>
  </si>
  <si>
    <t>MALE THREADED ADAPTER  90x3 - KLIMAPRESS VX</t>
  </si>
  <si>
    <t>K3250110-I</t>
  </si>
  <si>
    <t>MALE THREADED ADAPTER 110x4 - KLIMAPRESS VX</t>
  </si>
  <si>
    <t>SOCKET  16x16 - KLIMAPRESS</t>
  </si>
  <si>
    <t>SOCKET  20x20 - KLIMAPRESS</t>
  </si>
  <si>
    <t>SOCKET  25x25 - KLIMAPRESS</t>
  </si>
  <si>
    <t>SOCKET  32x32 - KLIMAPRESS</t>
  </si>
  <si>
    <t>SOCKET  40x40 - KLIMAPRESS</t>
  </si>
  <si>
    <t>SOCKET  50x50 - KLIMAPRESS</t>
  </si>
  <si>
    <t>SOCKET  63x63 - KLIMAPRESS</t>
  </si>
  <si>
    <t>SOCKET  75x75 - KLIMAPRESS</t>
  </si>
  <si>
    <t>K200090-I</t>
  </si>
  <si>
    <t>SOCKET  90x90 - KLIMAPRESS VX</t>
  </si>
  <si>
    <t>K2000110-I</t>
  </si>
  <si>
    <t>SOCKET  110x110 - KLIMAPRESS VX</t>
  </si>
  <si>
    <t>REDUCER 20x16 - KLIMAPRESS</t>
  </si>
  <si>
    <t>REDUCER 25x16 - KLIMAPRESS</t>
  </si>
  <si>
    <t>REDUCER 25x20 - KLIMAPRESS</t>
  </si>
  <si>
    <t>REDUCER 32x20 - KLIMAPRESS</t>
  </si>
  <si>
    <t>REDUCER 32x25 - KLIMAPRESS</t>
  </si>
  <si>
    <t>REDUCER 40x25 - KLIMAPRESS</t>
  </si>
  <si>
    <t>REDUCER 40x32 - KLIMAPRESS</t>
  </si>
  <si>
    <t>REDUCER 50x25 - KLIMAPRESS</t>
  </si>
  <si>
    <t>REDUCER 50x32 - KLIMAPRESS</t>
  </si>
  <si>
    <t>REDUCER 50x40 - KLIMAPRESS</t>
  </si>
  <si>
    <t>REDUCER 63x40 - KLIMAPRESS</t>
  </si>
  <si>
    <t>REDUCER 63x50 - KLIMAPRESS</t>
  </si>
  <si>
    <t>REDUCER 75x63 - KLIMAPRESS</t>
  </si>
  <si>
    <t>ELBOW 90º 16x16 - KLIMAPRESS</t>
  </si>
  <si>
    <t>ELBOW 90º 20x20 - KLIMAPRESS</t>
  </si>
  <si>
    <t>ELBOW 90º 25x25 - KLIMAPRESS</t>
  </si>
  <si>
    <t>ELBOW 90º 32x32 - KLIMAPRESS</t>
  </si>
  <si>
    <t>ELBOW 90º 40x40 - KLIMAPRESS</t>
  </si>
  <si>
    <t>ELBOW 90º 50x50 - KLIMAPRESS</t>
  </si>
  <si>
    <t>ELBOW 90º 63x63 - KLIMAPRESS</t>
  </si>
  <si>
    <t>ELBOW 90º 75x75 - KLIMAPRESS</t>
  </si>
  <si>
    <t>K206090-I</t>
  </si>
  <si>
    <t>FEMALE ELBOW 90º 16x1/2 - KLIMAPRESS</t>
  </si>
  <si>
    <t>FEMALE ELBOW 90º 16x3/4 - KLIMAPRESS</t>
  </si>
  <si>
    <t>FEMALE ELBOW 90º 20x1/2 - KLIMAPRESS</t>
  </si>
  <si>
    <t>FEMALE ELBOW 90º 20x3/4 - KLIMAPRESS</t>
  </si>
  <si>
    <t>FEMALE ELBOW 90º 25x3/4 - KLIMAPRESS</t>
  </si>
  <si>
    <t>FEMALE ELBOW 90º 25x1/2 - KLIMAPRESS</t>
  </si>
  <si>
    <t>FEMALE ELBOW 90º 25x1 - KLIMAPRESS</t>
  </si>
  <si>
    <t>FEMALE ELBOW 90º 32x3/4 - KLIMAPRESS</t>
  </si>
  <si>
    <t>FEMALE ELBOW 90º 32x1 - KLIMAPRESS</t>
  </si>
  <si>
    <t>FEMALE ELBOW 90º 40x1'1/2 - KLIMAPRESS</t>
  </si>
  <si>
    <t>FEMALE ELBOW 90º 40x1'1/4 - KLIMAPRESS</t>
  </si>
  <si>
    <t>FEMALE ELBOW 90º 40x1 - KLIMAPRESS</t>
  </si>
  <si>
    <t>FEMALE ELBOW 90º 50x1'1/2 - KLIMAPRESS</t>
  </si>
  <si>
    <t>FEMALE ELBOW 90º 50x1 - KLIMAPRESS</t>
  </si>
  <si>
    <t>FEMALE ELBOW 90º 63x2 - KLIMAPRESS</t>
  </si>
  <si>
    <t>FEMALE ELBOW 90º 75x2'1/2 - KLIMAPRESS</t>
  </si>
  <si>
    <t>K208090-I</t>
  </si>
  <si>
    <t>K2080110-I</t>
  </si>
  <si>
    <t>MALE ELBOW 90º 16x1/2 - KLIMAPRESS</t>
  </si>
  <si>
    <t>MALE ELBOW 90º 20x1/2 - KLIMAPRESS</t>
  </si>
  <si>
    <t>MALE ELBOW 90º 25x3/4 - KLIMAPRESS</t>
  </si>
  <si>
    <t>MALE ELBOW 90º 25x1/2 - KLIMAPRESS</t>
  </si>
  <si>
    <t>MALE ELBOW 90º 32x1 - KLIMAPRESS</t>
  </si>
  <si>
    <t>K209090-I</t>
  </si>
  <si>
    <t>MALE ELBOW 90º 90x3 - KLIMAPRESS VX</t>
  </si>
  <si>
    <t>WALL PLATE FEMALE ELBOW 16x1/2 - KLIMAPRESS</t>
  </si>
  <si>
    <t>WALL PLATE FEMALE ELBOW 20x1/2 - KLIMAPRESS</t>
  </si>
  <si>
    <t>WALL PLATE FEMALE ELBOW 25x3/4 - KLIMAPRESS</t>
  </si>
  <si>
    <t>TEE 16x16x16 - KLIMAPRESS</t>
  </si>
  <si>
    <t>TEE 20x20x20 - KLIMAPRESS</t>
  </si>
  <si>
    <t>TEE 25x25x25 - KLIMAPRESS</t>
  </si>
  <si>
    <t>TEE 32x32x32 - KLIMAPRESS</t>
  </si>
  <si>
    <t>TEE 40x40x40 - KLIMAPRESS</t>
  </si>
  <si>
    <t>TEE 50x50x50 - KLIMAPRESS</t>
  </si>
  <si>
    <t>TEE 63x63x63 - KLIMAPRESS</t>
  </si>
  <si>
    <t>TEE 75x75x75 - KLIMAPRESS</t>
  </si>
  <si>
    <t>K230090-I</t>
  </si>
  <si>
    <t>TEE 90x90x90 - KLIMAPRESS VX</t>
  </si>
  <si>
    <t>REDUCED TEE 16x20x16 - KLIMAPRESS</t>
  </si>
  <si>
    <t>REDUCED TEE 16x25x16 - KLIMAPRESS</t>
  </si>
  <si>
    <t>REDUCED TEE 20x16x16 - KLIMAPRESS</t>
  </si>
  <si>
    <t>REDUCED TEE 20x16x20 - KLIMAPRESS</t>
  </si>
  <si>
    <t>REDUCED TEE 20x20x16 - KLIMAPRESS</t>
  </si>
  <si>
    <t>REDUCED TEE 20x25x20 - KLIMAPRESS</t>
  </si>
  <si>
    <t>REDUCED TEE 25x16x16 - KLIMAPRESS</t>
  </si>
  <si>
    <t>REDUCED TEE 25x16x20 - KLIMAPRESS</t>
  </si>
  <si>
    <t>REDUCED TEE 25x16x25 - KLIMAPRESS</t>
  </si>
  <si>
    <t>REDUCED TEE 25x20x16 - KLIMAPRESS</t>
  </si>
  <si>
    <t>REDUCED TEE 25x20x20 - KLIMAPRESS</t>
  </si>
  <si>
    <t>REDUCED TEE 25x20x25 - KLIMAPRESS</t>
  </si>
  <si>
    <t>REDUCED TEE 25x25x20 - KLIMAPRESS</t>
  </si>
  <si>
    <t>REDUCED TEE 25x32x25 - KLIMAPRESS</t>
  </si>
  <si>
    <t>REDUCED TEE 32x16x32 - KLIMAPRESS</t>
  </si>
  <si>
    <t>REDUCED TEE 32x20x32 - KLIMAPRESS</t>
  </si>
  <si>
    <t>REDUCED TEE 32x25x25 - KLIMAPRESS</t>
  </si>
  <si>
    <t>REDUCED TEE 32x25x32 - KLIMAPRESS</t>
  </si>
  <si>
    <t>REDUCED TEE 40x25x40 - KLIMAPRESS</t>
  </si>
  <si>
    <t>REDUCED TEE 40x32x40 - KLIMAPRESS</t>
  </si>
  <si>
    <t>REDUCED TEE 50x32x50 - KLIMAPRESS</t>
  </si>
  <si>
    <t>REDUCED TEE 50x40x50 - KLIMAPRESS</t>
  </si>
  <si>
    <t>REDUCED TEE 63x40x63 - KLIMAPRESS</t>
  </si>
  <si>
    <t>REDUCED TEE 63x50x63 - KLIMAPRESS</t>
  </si>
  <si>
    <t>REDUCED TEE 75x63x75 - KLIMAPRESS</t>
  </si>
  <si>
    <t>FEMALE TEE 16x1/2 - KLIMAPRESS</t>
  </si>
  <si>
    <t>FEMALE TEE 20x1/2 - KLIMAPRESS</t>
  </si>
  <si>
    <t>FEMALE TEE 25x3/4 - KLIMAPRESS</t>
  </si>
  <si>
    <t>FEMALE TEE 25x1/2 - KLIMAPRESS</t>
  </si>
  <si>
    <t>FEMALE TEE 32x1 - KLIMAPRESS</t>
  </si>
  <si>
    <t>FEMALE TEE 40x1 - KLIMAPRESS</t>
  </si>
  <si>
    <t>FEMALE TEE 40x1'1/4 - KLIMAPRESS</t>
  </si>
  <si>
    <t>FEMALE TEE 50x1 - KLIMAPRESS</t>
  </si>
  <si>
    <t>FEMALE TEE 50x1'1/2 - KLIMAPRESS</t>
  </si>
  <si>
    <t>FEMALE TEE 63x1 - KLIMAPRESS</t>
  </si>
  <si>
    <t>FEMALE TEE 63x2 - KLIMAPRESS</t>
  </si>
  <si>
    <t>FEMALE TEE 63x2'1/2 - KLIMAPRESS</t>
  </si>
  <si>
    <t>FEMALE TEE 75x2'1/2 - KLIMAPRESS</t>
  </si>
  <si>
    <t>K232090-I</t>
  </si>
  <si>
    <t>FEMALE TEE 90x3 - KLIMAPRESS VX</t>
  </si>
  <si>
    <t>K2320110-I</t>
  </si>
  <si>
    <t>FEMALE TEE 110x4x110 - KLIMAPRESS VX</t>
  </si>
  <si>
    <t>MALE TEE 16x1/2 - KLIMAPRESS</t>
  </si>
  <si>
    <t>MALE TEE 20x1/2 - KLIMAPRESS</t>
  </si>
  <si>
    <t>MALE TEE 25x1/2 - KLIMAPRESS</t>
  </si>
  <si>
    <t>MALE TEE 25x3/4 - KLIMAPRESS</t>
  </si>
  <si>
    <t>MALE TEE 32x1 - KLIMAPRESS</t>
  </si>
  <si>
    <t>Connector core for PEX. PE-RT/AL/PE-RT pipe</t>
  </si>
  <si>
    <t>END CAP BRASS 16 MM</t>
  </si>
  <si>
    <t>END CAP BRASS 32 MM</t>
  </si>
  <si>
    <t>PERT (II)-AL-PERT(II) - INSULATED</t>
  </si>
  <si>
    <t>FEMALE THREADED ADAPTER 40x1'1/4 - KLIMAPRESS</t>
  </si>
  <si>
    <t>16x16</t>
  </si>
  <si>
    <t>20x20</t>
  </si>
  <si>
    <t>25x25</t>
  </si>
  <si>
    <t>63x63</t>
  </si>
  <si>
    <t>MALE FEMALE</t>
  </si>
  <si>
    <t>CONNECTOR 32x25</t>
  </si>
  <si>
    <t>KLIMAPRESS FEMALE TEE BRASS</t>
  </si>
  <si>
    <t>KLIMAPRESS MALE TEE BRASS</t>
  </si>
  <si>
    <t>KLIMAPRESS MANIFOLD - INLET 1" &amp; 2 OUTLET 1/2"</t>
  </si>
  <si>
    <t>KLIMAPRESS MANIFOLD - INLET 1" &amp; 2 OUTLET 3/4"</t>
  </si>
  <si>
    <t>KLIMAPRESS MANIFOLD - INLET 3/4" &amp; 2 OUTLET 1/2"</t>
  </si>
  <si>
    <t>KLIMAPRESS MANIFOLD - INLET 3/4" &amp; 3 OUTLET 1/2"</t>
  </si>
  <si>
    <t>KLIMAPRESS MANIFOLD - INLET 3/4" &amp; 4 OUTLET 1/2"</t>
  </si>
  <si>
    <t>KLIMAPRESS MANIFOLD - INLET 1" &amp; 3 OUTLET 3/4"</t>
  </si>
  <si>
    <t>KLIMAPRESS MANIFOLD - INLET 1" &amp; 4 OUTLET 3/4"</t>
  </si>
  <si>
    <t>KLIMAPRESS MANIFOLD - INLET 1" &amp; 3 OUTLET 1/2"</t>
  </si>
  <si>
    <t>KLIMAPRESS MANIFOLD - INLET 1" &amp; 4 OUTLET 1/2"</t>
  </si>
  <si>
    <t>KLIMAPRESS MANIFOLD CONNECTOR 16x1/2</t>
  </si>
  <si>
    <t>KLIMAPRESS MANIFOLD CONNECTOR 16x3/4</t>
  </si>
  <si>
    <t>KLIMAPRESS MANIFOLD CONNECTOR 20x3/4</t>
  </si>
  <si>
    <t>KLIMAPRESS BALL VALVE</t>
  </si>
  <si>
    <t>CONNECTOR - MALE FEMALE</t>
  </si>
  <si>
    <t>END CAP BRASS</t>
  </si>
  <si>
    <t>100 Mtr Coil</t>
  </si>
  <si>
    <t>50 Mtr Coil</t>
  </si>
  <si>
    <t>5 Mtr Bar</t>
  </si>
  <si>
    <t>50 Mtr</t>
  </si>
  <si>
    <t>25 Mtr</t>
  </si>
  <si>
    <t>INSULATED MLCP PIPE</t>
  </si>
  <si>
    <t>MANIFOLD BRASS</t>
  </si>
  <si>
    <t>MANIFOLD CONNECTOR BRASS</t>
  </si>
  <si>
    <t>BALL VALVE BRASS</t>
  </si>
  <si>
    <t>CONNECTOR BRASS</t>
  </si>
  <si>
    <t>PIPE PP-RCT 125 + FG SDR 7.4 ROMAFASER CT Ø 20x2.8 - GREEN</t>
  </si>
  <si>
    <t>PIPE PP-RCT 125 + FG SDR 7.4 ROMAFASER CT Ø 25x3.5 - GREEN</t>
  </si>
  <si>
    <t>PIPE PP-RCT 125 + FG SDR 7.4 ROMAFASER CT Ø 32x4.4  - GREEN</t>
  </si>
  <si>
    <t>PIPE PP-RCT 125 + FG SDR 11 ROMAFASER CT Ø 40x3.7 - GREEN</t>
  </si>
  <si>
    <t>PIPE PP-RCT 125 + FG SDR 11 ROMAFASER CT Ø 50x4.6 - GREEN</t>
  </si>
  <si>
    <t>PIPE PP-RCT 125 + FG SDR 11 ROMAFASER CT Ø 63x5.8 - GREEN</t>
  </si>
  <si>
    <t>PIPE PP-RCT 125 + FG SDR 11 ROMAFASER CT Ø 75x6.8 - GREEN</t>
  </si>
  <si>
    <t>PIPE PP-RCT 125 + FG SDR 11 ROMAFASER CT Ø 90x8.2 - GREEN</t>
  </si>
  <si>
    <t>PIPE PP-RCT 125 + FG SDR 11 ROMAFASER CT Ø 110x10.0 - GREEN</t>
  </si>
  <si>
    <t>PIPE PP-RCT 125 + FG SDR 11 ROMAFASER CT Ø 125x11.4 - GREEN</t>
  </si>
  <si>
    <t>PIPE PP-RCT 125 + FG SDR 11 ROMAFASER CT Ø 160x14.6 - GREEN</t>
  </si>
  <si>
    <t>PIPE PP-R 100 + FG ANTI-UV SDR 7.4 ROMAFASER Ø 20x2.8 GREEN</t>
  </si>
  <si>
    <t>PIPE PP-R 100 + FG ANTI-UV SDR 7.4 ROMAFASER Ø 25x3.5 GREEN</t>
  </si>
  <si>
    <t>PIPE PP-R 100 + FG ANTI-UV SDR 7.4 ROMAFASER Ø 32x4.4 GREEN</t>
  </si>
  <si>
    <t>PIPE PP-R 100 + FG ANTI-UV SDR 7.4 ROMAFASER Ø 40x5.5 GREEN</t>
  </si>
  <si>
    <t>PIPE PP-R 100 + FG ANTI-UV SDR 7.4 ROMAFASER Ø 50x6.9 GREEN</t>
  </si>
  <si>
    <t>PIPE PP-R 100 + FG ANTI-UV SDR 7.4 ROMAFASER Ø 63x8.6 GREEN</t>
  </si>
  <si>
    <t>PIPE PP-R 100 + FG ANTI-UV SDR 7.4 ROMAFASER Ø 75x10.3 GREEN</t>
  </si>
  <si>
    <t>P-14020-FR</t>
  </si>
  <si>
    <t>PIPE PP-R 100 + FG SDR 7.4 ROMAKLIMA Ø 20x2.8 - GREEN</t>
  </si>
  <si>
    <t>P-14025-FR</t>
  </si>
  <si>
    <t>PIPE PP-R 100 + FG SDR 7.4 ROMAKLIMA Ø 25x3.5 - GREEN</t>
  </si>
  <si>
    <t>P-14032-FR</t>
  </si>
  <si>
    <t>PIPE PP-R 100 + FG SDR 11 ROMAKLIMA Ø 32x2.9 - GREEN</t>
  </si>
  <si>
    <t>P-14040-FR</t>
  </si>
  <si>
    <t>PIPE PP-R 100 + FG SDR 11 ROMAKLIMA Ø 40x3.7 - GREEN</t>
  </si>
  <si>
    <t>P-14050-FR</t>
  </si>
  <si>
    <t>PIPE PP-R 100 + FG SDR 11 ROMAKLIMA Ø 50x4.6 - GREEN</t>
  </si>
  <si>
    <t>P-14063-FR</t>
  </si>
  <si>
    <t>PIPE PP-R 100 + FG SDR 11 ROMAKLIMA Ø 63x5.8 - GREEN</t>
  </si>
  <si>
    <t>P-14075-FR</t>
  </si>
  <si>
    <t>PIPE PP-R 100 + FG SDR 11 ROMAKLIMA Ø 75x6.8 - GREEN</t>
  </si>
  <si>
    <t>P-14090-FR</t>
  </si>
  <si>
    <t>PIPE PP-R 100 + FG SDR 11 ROMAKLIMA Ø 90x8.2 - GREEN</t>
  </si>
  <si>
    <t>P-140110-FR</t>
  </si>
  <si>
    <t>PIPE PP-R 100 + FG SDR 11 ROMAKLIMA Ø 110x10.0 - GREEN</t>
  </si>
  <si>
    <t>P-140125-FR</t>
  </si>
  <si>
    <t>PIPE PP-R 100 + FG SDR 11 ROMAKLIMA Ø 125x11.4 - GREEN</t>
  </si>
  <si>
    <t>P-140160-FR</t>
  </si>
  <si>
    <t>PIPE PP-R 100 + FG SDR 11 ROMAKLIMA Ø 160x14.6 - GREEN</t>
  </si>
  <si>
    <t>P-140200-FR</t>
  </si>
  <si>
    <t>PIPE PP-R 100 + FG SDR 11 ROMAKLIMA Ø 200x18.2 - GREEN</t>
  </si>
  <si>
    <t>P-140250-FR</t>
  </si>
  <si>
    <t>PIPE PP-R 100 + FG SDR 11 ROMAKLIMA Ø 250x22.7 - GREEN</t>
  </si>
  <si>
    <t>P-140315-FR</t>
  </si>
  <si>
    <t>PIPE PP-R 100 + FG SDR 11 ROMAKLIMA Ø 315x25.4 - GREEN</t>
  </si>
  <si>
    <t>P-140355-FR12</t>
  </si>
  <si>
    <t>PIPE PP-R 100 + FG SDR 11 ROMAKLIMA Ø 355x32.2 - GREEN</t>
  </si>
  <si>
    <t>P-140400-FR</t>
  </si>
  <si>
    <t>PIPE PP-R 100 + FG SDR 11 ROMAKLIMA Ø 400x32.2 - GREEN</t>
  </si>
  <si>
    <t>PP-R PIPE SDR 7.4 CT</t>
  </si>
  <si>
    <t>FIBER PIPE SDR 11 - 200x18.2 - PP-R 125 GREEN</t>
  </si>
  <si>
    <t>PP-R PIPE SDR 7.4 FG ANTI UV</t>
  </si>
  <si>
    <t>REDFIRE FIBER PIPE SDR 7.4 20x2.8 - RED</t>
  </si>
  <si>
    <t>REDFIRE FIBER PIPE SDR 7.4 25x3.5 - RED</t>
  </si>
  <si>
    <t>REDFIRE FIBER PIPE SDR 11 32x2.9 - RED</t>
  </si>
  <si>
    <t>REDFIRE FIBER PIPE SDR 11 40x3.7 - RED</t>
  </si>
  <si>
    <t>REDFIRE FIBER PIPE SDR 11 50x4.6 - RED</t>
  </si>
  <si>
    <t>REDFIRE FIBER PIPE SDR 11 63x5.8 - RED</t>
  </si>
  <si>
    <t>REDFIRE FIBER PIPE SDR 11 75x6.8 - RED</t>
  </si>
  <si>
    <t>REDFIRE FIBER PIPE SDR 11 90x8.2 - RED</t>
  </si>
  <si>
    <t>REDFIRE FIBER PIPE SDR 11 110x10.0 - RED</t>
  </si>
  <si>
    <t>REDFIRE FIBER PIPE SDR 11 125x11.4 - RED</t>
  </si>
  <si>
    <t>REDFIRE FIBER PIPE SDR 11 160x11.4 - RED</t>
  </si>
  <si>
    <t>76.1x22x76.1</t>
  </si>
  <si>
    <t>76.1x28x76.1</t>
  </si>
  <si>
    <t>76.1x35x76.1</t>
  </si>
  <si>
    <t>76.1x42x76.1</t>
  </si>
  <si>
    <t>76.1x54x76.1</t>
  </si>
  <si>
    <t>88.9x22x88.9</t>
  </si>
  <si>
    <t>88.9x28x88.9</t>
  </si>
  <si>
    <t>88.9x35x88.9</t>
  </si>
  <si>
    <t>88.9x42x88.9</t>
  </si>
  <si>
    <t>88.9x54x88.9</t>
  </si>
  <si>
    <t>88.9x76.1x88.9</t>
  </si>
  <si>
    <t>108x76.1x108</t>
  </si>
  <si>
    <t>108x88.9x108</t>
  </si>
  <si>
    <t>76.1x28</t>
  </si>
  <si>
    <t>76.1x42</t>
  </si>
  <si>
    <t>76.1x 54</t>
  </si>
  <si>
    <t>88.9x 42</t>
  </si>
  <si>
    <t>88.9x 54</t>
  </si>
  <si>
    <t>88.9x76.1</t>
  </si>
  <si>
    <t>108x76.1</t>
  </si>
  <si>
    <t>108x88.9</t>
  </si>
  <si>
    <t>BATTERY POWERED PRESS TOOL WITH U16.20.25.32.40 WITH 2 BATTERY &amp; 1 CHARGER</t>
  </si>
  <si>
    <t>BATTERY POWERED PRESS TOOL WITH V15.22.28.35.42 WITH 2 BATTERY &amp; 1 CHARGER</t>
  </si>
  <si>
    <t>ADAPTER V42.54</t>
  </si>
  <si>
    <t>CALIBRATOR - 16.20.25.32 MM</t>
  </si>
  <si>
    <t>CALIBRATOR 16.20.25.32 MM</t>
  </si>
  <si>
    <t>CALIBRATOR - 40.50.63 MM</t>
  </si>
  <si>
    <t>CALIBRATOR 40.50.63 MM</t>
  </si>
  <si>
    <t xml:space="preserve">PP-R PIPE SDR 7.4 FG </t>
  </si>
  <si>
    <t>20X1/2</t>
  </si>
  <si>
    <t>25X3/4</t>
  </si>
  <si>
    <t>25X1/2</t>
  </si>
  <si>
    <t>25X1</t>
  </si>
  <si>
    <t>32x1"3/4</t>
  </si>
  <si>
    <t>32x1"3/1</t>
  </si>
  <si>
    <t>40x20x40</t>
  </si>
  <si>
    <t>250x160</t>
  </si>
  <si>
    <t>250x200</t>
  </si>
  <si>
    <t>315x200</t>
  </si>
  <si>
    <t>315x250</t>
  </si>
  <si>
    <t>63-75-90x20</t>
  </si>
  <si>
    <t>63-75-90x25</t>
  </si>
  <si>
    <t>63-75-90x32</t>
  </si>
  <si>
    <t>110-125-160x20</t>
  </si>
  <si>
    <t>110-125-160x25</t>
  </si>
  <si>
    <t>110-125-160x32</t>
  </si>
  <si>
    <t>63-75-90x1/2</t>
  </si>
  <si>
    <t>63-75-90x3/4</t>
  </si>
  <si>
    <t>110-125-160x1/2</t>
  </si>
  <si>
    <t>110-125-160x3/4</t>
  </si>
  <si>
    <t>125x90</t>
  </si>
  <si>
    <t>40 Ø 0</t>
  </si>
  <si>
    <t>50 Ø 0</t>
  </si>
  <si>
    <t>63 Ø 0</t>
  </si>
  <si>
    <t>75 Ø 0</t>
  </si>
  <si>
    <t>90 Ø 0</t>
  </si>
  <si>
    <t>110 Ø 0</t>
  </si>
  <si>
    <t>125 Ø 0</t>
  </si>
  <si>
    <t>1/2"</t>
  </si>
  <si>
    <t>3/4"</t>
  </si>
  <si>
    <t>1"</t>
  </si>
  <si>
    <t>7/11 mm</t>
  </si>
  <si>
    <t>COUPLER REDFIRE Ø 20 - RED</t>
  </si>
  <si>
    <t>COUPLER REDFIRE Ø 25 - RED</t>
  </si>
  <si>
    <t>COUPLER REDFIRE Ø 32 - RED</t>
  </si>
  <si>
    <t>COUPLER REDFIRE Ø 40 - RED</t>
  </si>
  <si>
    <t>COUPLER REDFIRE Ø 50 - RED</t>
  </si>
  <si>
    <t>COUPLER REDFIRE Ø 63 - RED</t>
  </si>
  <si>
    <t>COUPLER REDFIRE Ø 75 - RED</t>
  </si>
  <si>
    <t>COUPLER REDFIRE Ø 90 - RED</t>
  </si>
  <si>
    <t>COUPLER REDFIRE Ø 110 - RED</t>
  </si>
  <si>
    <t>COUPLER REDFIRE Ø 125 - RED</t>
  </si>
  <si>
    <t>REDUCER COUPLER REDFIRE Ø 25x20 - RED</t>
  </si>
  <si>
    <t>REDUCER COUPLER REDFIRE Ø 32x20 - RED</t>
  </si>
  <si>
    <t>REDUCER COUPLER REDFIRE Ø 32x25 - RED</t>
  </si>
  <si>
    <t>REDUCER COUPLER REDFIRE Ø 40x20 - RED</t>
  </si>
  <si>
    <t>REDUCER COUPLER REDFIRE Ø 40x25 - RED</t>
  </si>
  <si>
    <t>REDUCER COUPLER REDFIRE Ø 40x32 - RED</t>
  </si>
  <si>
    <t>REDUCER COUPLER REDFIRE Ø 50x20 - RED</t>
  </si>
  <si>
    <t>REDUCER COUPLER REDFIRE Ø 50x25 - RED</t>
  </si>
  <si>
    <t>REDUCER COUPLER REDFIRE Ø 50x32 - RED</t>
  </si>
  <si>
    <t>REDUCER COUPLER REDFIRE Ø 50x40 - RED</t>
  </si>
  <si>
    <t>REDUCER COUPLER REDFIRE Ø 63x25 - RED</t>
  </si>
  <si>
    <t>REDUCER COUPLER REDFIRE Ø 63x32 - RED</t>
  </si>
  <si>
    <t>REDUCER COUPLER REDFIRE Ø 63x40 - RED</t>
  </si>
  <si>
    <t>REDUCER COUPLER REDFIRE Ø 63x50 - RED</t>
  </si>
  <si>
    <t>REDUCER COUPLER REDFIRE Ø 75x50 - RED</t>
  </si>
  <si>
    <t>REDUCER COUPLER REDFIRE Ø 75x63 - RED</t>
  </si>
  <si>
    <t>REDUCER COUPLER REDFIRE Ø 90x63 - RED</t>
  </si>
  <si>
    <t>REDUCER COUPLER REDFIRE Ø 90x75 - RED</t>
  </si>
  <si>
    <t>REDUCER COUPLER REDFIRE Ø 110x63 - RED</t>
  </si>
  <si>
    <t>REDUCER COUPLER REDFIRE Ø 110x75 - RED</t>
  </si>
  <si>
    <t>REDUCER COUPLER REDFIRE Ø 110x90 - RED</t>
  </si>
  <si>
    <t>REDUCER COUPLER REDFIRE Ø 125x110 - RED</t>
  </si>
  <si>
    <t>REDUCER COUPLER REDFIRE Ø 160x125 - RED</t>
  </si>
  <si>
    <t>FEMALE THREADED ADAPTER REDFIRE Ø 20x1/2" - RED</t>
  </si>
  <si>
    <t>FEMALE THREADED ADAPTER REDFIRE Ø 25x3/4" - RED</t>
  </si>
  <si>
    <t>FEMALE THREADED ADAPTER REDFIRE Ø 25x1/2" - RED</t>
  </si>
  <si>
    <t>FEMALE THREADED ADAPTER REDFIRE Ø 32x1" - RED</t>
  </si>
  <si>
    <t>FEMALE THREADED ADAPTER REDFIRE Ø 32x3/4" - RED</t>
  </si>
  <si>
    <t>FEMALE THREADED ADAPTER REDFIRE Ø 40x11/4" - RED</t>
  </si>
  <si>
    <t>FEMALE THREADED ADAPTER REDFIRE Ø 50x11/2" - RED</t>
  </si>
  <si>
    <t>FEMALE THREADED ADAPTER REDFIRE Ø 63x2" - RED</t>
  </si>
  <si>
    <t>FEMALE THREADED ADAPTER REDFIRE Ø 75x21/2" - RED</t>
  </si>
  <si>
    <t>FEMALE THREADED ADAPTER REDFIRE Ø 90x3" - RED</t>
  </si>
  <si>
    <t>FEMALE THREADED ADAPTER REDFIRE Ø 110x4" - RED</t>
  </si>
  <si>
    <t>MALE THREADED ADAPTER REDFIRE Ø 20x1/2" - RED</t>
  </si>
  <si>
    <t>MALE THREADED ADAPTER REDFIRE Ø 25x3/4" - RED</t>
  </si>
  <si>
    <t>MALE THREADED ADAPTER REDFIRE Ø 25x1/2" - RED</t>
  </si>
  <si>
    <t>MALE THREADED ADAPTER REDFIRE Ø 32x1" - RED</t>
  </si>
  <si>
    <t>MALE THREADED ADAPTER REDFIRE Ø 32x3/4" - RED</t>
  </si>
  <si>
    <t>MALE THREADED ADAPTER REDFIRE Ø 40x11/4" - RED</t>
  </si>
  <si>
    <t>MALE THREADED ADAPTER REDFIRE Ø 50x11/2" - RED</t>
  </si>
  <si>
    <t>MALE THREADED ADAPTER REDFIRE Ø 63x2" - RED</t>
  </si>
  <si>
    <t>MALE THREADED ADAPTER REDFIRE Ø 75x21/2" - RED</t>
  </si>
  <si>
    <t>MALE THREADED ADAPTER REDFIRE Ø 90x3" - RED</t>
  </si>
  <si>
    <t>MALE THREADED ADAPTER REDFIRE Ø 110x4" - RED</t>
  </si>
  <si>
    <t>LOOSE NUT ADAPTER REDFIRE Ø 20x3/4" - RED</t>
  </si>
  <si>
    <t>LOOSE NUT ADAPTER REDFIRE Ø 25x1" - RED</t>
  </si>
  <si>
    <t>LOOSE NUT ADAPTER REDFIRE Ø 25x3/4" - RED</t>
  </si>
  <si>
    <t>LOOSE NUT ADAPTER REDFIRE Ø 32x11/4" - RED</t>
  </si>
  <si>
    <t>LOOSE NUT ADAPTER REDFIRE Ø 32x1" - RED</t>
  </si>
  <si>
    <t>LOOSE NUT ADAPTER REDFIRE Ø 40x11/2" - RED</t>
  </si>
  <si>
    <t>LOOSE NUT ADAPTER REDFIRE Ø 50x2" - RED</t>
  </si>
  <si>
    <t>LOOSE NUT ADAPTER REDFIRE Ø 63x21/2" - RED</t>
  </si>
  <si>
    <t>LOOSE NUT ADAPTER REDFIRE Ø 75x3" - RED</t>
  </si>
  <si>
    <t>40664857-i</t>
  </si>
  <si>
    <t>41840051-i</t>
  </si>
  <si>
    <t>HT PRO S TRAP</t>
  </si>
  <si>
    <t>HTPRO S TRAP</t>
  </si>
  <si>
    <t>110x110x75</t>
  </si>
  <si>
    <t>110x50x50x50</t>
  </si>
  <si>
    <t>P-PERTAL16VR</t>
  </si>
  <si>
    <t>P-PERTAL20VR</t>
  </si>
  <si>
    <t>P-PERTAL25VR</t>
  </si>
  <si>
    <t>P-PERTAL32VR</t>
  </si>
  <si>
    <t>K234034</t>
  </si>
  <si>
    <t>K234041</t>
  </si>
  <si>
    <t>K325034</t>
  </si>
  <si>
    <t>K325041</t>
  </si>
  <si>
    <t>K325052</t>
  </si>
  <si>
    <t>K238041</t>
  </si>
  <si>
    <t>40X20</t>
  </si>
  <si>
    <t>KLIMAPRESS REDUCER SOCKET BRASS</t>
  </si>
  <si>
    <t>K231041</t>
  </si>
  <si>
    <t>40X20X40</t>
  </si>
  <si>
    <t>KLIMAPRESS REDUCED TEE BRASS</t>
  </si>
  <si>
    <t>35x11/4</t>
  </si>
  <si>
    <t>HT PTO DISPLAY BOARD</t>
  </si>
  <si>
    <t>HT PRO DISPLAY BOARD 3X3</t>
  </si>
  <si>
    <t>SAMPLE</t>
  </si>
  <si>
    <t>MLCP DISPLAY BOARD</t>
  </si>
  <si>
    <t>MLCP DISPLAY BOARD 1X3</t>
  </si>
  <si>
    <t>US DISPLAY BOARD</t>
  </si>
  <si>
    <t>US DISPLAY BOARD 3X3</t>
  </si>
  <si>
    <t xml:space="preserve"> </t>
  </si>
  <si>
    <t>7070764877-i</t>
  </si>
  <si>
    <t>110x75x75x75</t>
  </si>
  <si>
    <t>110x75x75</t>
  </si>
  <si>
    <t>40733860-i</t>
  </si>
  <si>
    <t>40742860-i</t>
  </si>
  <si>
    <t>40743860-i</t>
  </si>
  <si>
    <t>40744860-i</t>
  </si>
  <si>
    <t>75X75</t>
  </si>
  <si>
    <t>110X50</t>
  </si>
  <si>
    <t>160X110</t>
  </si>
  <si>
    <t>40733867-i</t>
  </si>
  <si>
    <t>40742867-i</t>
  </si>
  <si>
    <t>40743867-i</t>
  </si>
  <si>
    <t>40744867-i</t>
  </si>
  <si>
    <t>110X75</t>
  </si>
  <si>
    <t>HT. RISER WITH 2 INLET 90 DEG</t>
  </si>
  <si>
    <t>HT. RISER WITH 2 INLET 180 DEG</t>
  </si>
  <si>
    <t>HT PRO DOUBLE BRANCH</t>
  </si>
  <si>
    <t>HT PRO MULTI FLOOR TRAP WITH SOCKET</t>
  </si>
  <si>
    <t>HT. RISER WITH 50 &amp; 75 MM INLET</t>
  </si>
  <si>
    <t>ULTRA SILENT HAFF STACK</t>
  </si>
  <si>
    <t>5754000025-i</t>
  </si>
  <si>
    <t>5751200025-i</t>
  </si>
  <si>
    <t>5751600025-i</t>
  </si>
  <si>
    <t>HT. RISER FOR P TRAP WITH 50 MM 2 INLET 180 DEG.</t>
  </si>
  <si>
    <t>HT. RISER FOR P TRAP WITH 50 MM 2 INLET 90 DEG</t>
  </si>
  <si>
    <t>CAST IRON JOINARY</t>
  </si>
  <si>
    <t>K209075</t>
  </si>
  <si>
    <t>MALE ELBOW 90º 75x21/2 - KLIMAPRESS</t>
  </si>
  <si>
    <t>K242016-C</t>
  </si>
  <si>
    <t>K242020-C</t>
  </si>
  <si>
    <t>K242025-C</t>
  </si>
  <si>
    <t>K242032-C</t>
  </si>
  <si>
    <t>REDUCED TEE 40X20X40 - KLIMAPRESS</t>
  </si>
  <si>
    <t>PRESS INOX SS 316 PIPE</t>
  </si>
  <si>
    <t>MALE THREADED ELBOW</t>
  </si>
  <si>
    <t>FEMALE THREADED ELBOW</t>
  </si>
  <si>
    <t>FEMALE THREADED TEE</t>
  </si>
  <si>
    <t>MALE THREADED ADAPTER</t>
  </si>
  <si>
    <t>FEMALE THREADED ADAPTER</t>
  </si>
  <si>
    <t>SLIDING COUPLER</t>
  </si>
  <si>
    <t>FEMALE STRAIGHT UNION CONNECTOR</t>
  </si>
  <si>
    <t>MALE STRAIGHT UNION CONNECTOR</t>
  </si>
  <si>
    <t>CHECK NUT UNION</t>
  </si>
  <si>
    <t>WALL PLATE FEMALE THREADED ELBOW</t>
  </si>
  <si>
    <t>EQUAL ELBOW</t>
  </si>
  <si>
    <t>OBTUSE ELBOW - 45 DEG</t>
  </si>
  <si>
    <t>SHORT CROSSOVER COUPLER</t>
  </si>
  <si>
    <t>LONG CROSS OVER COUPLER</t>
  </si>
  <si>
    <t>EQUAL TEE</t>
  </si>
  <si>
    <t>REDUCING TEE - REDUCED BRANCH</t>
  </si>
  <si>
    <t>FITTING REDUCER</t>
  </si>
  <si>
    <t>EQUAL COUPLER</t>
  </si>
  <si>
    <t>5751100025-i</t>
  </si>
  <si>
    <t>DWC - 100 ID</t>
  </si>
  <si>
    <t>DWC - 150 ID</t>
  </si>
  <si>
    <t>DWC - 200 ID</t>
  </si>
  <si>
    <t>DWC - 250 ID</t>
  </si>
  <si>
    <t>DWC - 300 ID</t>
  </si>
  <si>
    <t>DWC - 400 ID</t>
  </si>
  <si>
    <t>DWC - 500 ID</t>
  </si>
  <si>
    <t>DWC - 600 ID</t>
  </si>
  <si>
    <t>DOUBLE WALL CORRUGATED PIPE - ID 100 MM</t>
  </si>
  <si>
    <t>DOUBLE WALL CORRUGATED PIPE - ID 150 MM WITH COUPLER - SN8</t>
  </si>
  <si>
    <t>DOUBLE WALL CORRUGATED PIPE - ID 200 MM WITH COUPLER - SN8</t>
  </si>
  <si>
    <t>DOUBLE WALL CORRUGATED PIPE - ID 250 MM WITH COUPLER - SN8</t>
  </si>
  <si>
    <t>DOUBLE WALL CORRUGATED PIPE - ID 300 MM WITH COUPLER - SN8</t>
  </si>
  <si>
    <t>DOUBLE WALL CORRUGATED PIPE - ID 400 MM WITH COUPLER - SN8</t>
  </si>
  <si>
    <t>DOUBLE WALL CORRUGATED PIPE - ID 500 MM WITH COUPLER - SN8</t>
  </si>
  <si>
    <t>DOUBLE WALL CORRUGATED PIPE - ID 600 MM WITH COUPLER - SN8</t>
  </si>
  <si>
    <t>DWC PIPE</t>
  </si>
  <si>
    <t>DWC PIPE SN8</t>
  </si>
  <si>
    <t xml:space="preserve">Sales Person </t>
  </si>
  <si>
    <t xml:space="preserve">Payment Terms </t>
  </si>
  <si>
    <t xml:space="preserve">Region </t>
  </si>
  <si>
    <t xml:space="preserve">Project Type </t>
  </si>
  <si>
    <t xml:space="preserve">Customer Type </t>
  </si>
  <si>
    <t xml:space="preserve">Freight Terms </t>
  </si>
  <si>
    <t xml:space="preserve">Zonal Manager </t>
  </si>
  <si>
    <t xml:space="preserve">Project /Retail </t>
  </si>
  <si>
    <t>CD %</t>
  </si>
  <si>
    <t xml:space="preserve">Date </t>
  </si>
  <si>
    <t xml:space="preserve">Advance </t>
  </si>
  <si>
    <t xml:space="preserve">International Sales </t>
  </si>
  <si>
    <t xml:space="preserve">Developer </t>
  </si>
  <si>
    <t xml:space="preserve">FOR </t>
  </si>
  <si>
    <t>S. Mukherjee</t>
  </si>
  <si>
    <t xml:space="preserve">Project </t>
  </si>
  <si>
    <t>Huliot Plant 714 &amp; 715</t>
  </si>
  <si>
    <t xml:space="preserve">Direct Sales </t>
  </si>
  <si>
    <t xml:space="preserve">Builder </t>
  </si>
  <si>
    <t xml:space="preserve">Ex Works </t>
  </si>
  <si>
    <t>Rahul Adhikari</t>
  </si>
  <si>
    <t xml:space="preserve">Retail </t>
  </si>
  <si>
    <t>Tushar Nag</t>
  </si>
  <si>
    <t xml:space="preserve">North East </t>
  </si>
  <si>
    <t xml:space="preserve">Contractor </t>
  </si>
  <si>
    <t>FOB (Only for Exports)</t>
  </si>
  <si>
    <t xml:space="preserve">Amit Deshmukh </t>
  </si>
  <si>
    <t>Mriganco Maiti</t>
  </si>
  <si>
    <t xml:space="preserve">Central Zone </t>
  </si>
  <si>
    <t xml:space="preserve">MEP Consultant </t>
  </si>
  <si>
    <t>CIF (Only for Exports)</t>
  </si>
  <si>
    <t xml:space="preserve">North Zone </t>
  </si>
  <si>
    <t>Sumit Sharma</t>
  </si>
  <si>
    <t xml:space="preserve">South Zone </t>
  </si>
  <si>
    <t>Distributor</t>
  </si>
  <si>
    <t xml:space="preserve">West Zone </t>
  </si>
  <si>
    <t>Yuvraj Rathod</t>
  </si>
  <si>
    <t xml:space="preserve">Retail-Pune </t>
  </si>
  <si>
    <t>Pratik Kular</t>
  </si>
  <si>
    <t xml:space="preserve">Retail-South </t>
  </si>
  <si>
    <t xml:space="preserve">Retail-Maharashtra </t>
  </si>
  <si>
    <t>Himanshu Todi</t>
  </si>
  <si>
    <t xml:space="preserve">30 Days PDC </t>
  </si>
  <si>
    <t>Mohit Gupta</t>
  </si>
  <si>
    <t>Yogesh Kumawat</t>
  </si>
  <si>
    <t>Vishal Ganwani</t>
  </si>
  <si>
    <t>Vikas Gupta</t>
  </si>
  <si>
    <t>Aditya Raj</t>
  </si>
  <si>
    <t>Lalit Panwar</t>
  </si>
  <si>
    <t>Surender Banwala</t>
  </si>
  <si>
    <t>Jayaraman Iyer</t>
  </si>
  <si>
    <t>Babu Gs</t>
  </si>
  <si>
    <t>Gokula Kannan</t>
  </si>
  <si>
    <t>Satish Kumar</t>
  </si>
  <si>
    <t>Santhosh Kumar N S</t>
  </si>
  <si>
    <t>Vasudevan S</t>
  </si>
  <si>
    <t>Abhishek D.H</t>
  </si>
  <si>
    <t>Amit Kini</t>
  </si>
  <si>
    <t>Karan Mule</t>
  </si>
  <si>
    <t>Ashish Oswal</t>
  </si>
  <si>
    <t>Giriraj Tupe</t>
  </si>
  <si>
    <t>Hetan Raval</t>
  </si>
  <si>
    <t>Prashant Satam</t>
  </si>
  <si>
    <t>Vijay More</t>
  </si>
  <si>
    <t>Vishal Chavan</t>
  </si>
  <si>
    <t>Kartik Shah</t>
  </si>
  <si>
    <t>Amit Chougule</t>
  </si>
  <si>
    <t>A Komuraiah</t>
  </si>
  <si>
    <t>Under Udaan-Channel Finance</t>
  </si>
  <si>
    <t>LC at Sight</t>
  </si>
  <si>
    <t xml:space="preserve">LC 30 Days </t>
  </si>
  <si>
    <t>Ganesh Bhosale</t>
  </si>
  <si>
    <t>Ajay More</t>
  </si>
  <si>
    <t>International Shipments</t>
  </si>
  <si>
    <t>Sonu Kumar Pandit</t>
  </si>
  <si>
    <t>Laxmi Dipak</t>
  </si>
  <si>
    <t>Huliot South</t>
  </si>
  <si>
    <t>Huliot East</t>
  </si>
  <si>
    <t>Huliot North</t>
  </si>
  <si>
    <t>Vivek Vandhu</t>
  </si>
  <si>
    <t>Order Validity :</t>
  </si>
  <si>
    <t xml:space="preserve">15 Days </t>
  </si>
  <si>
    <t xml:space="preserve">Order Basic Value </t>
  </si>
  <si>
    <t xml:space="preserve">Rera Project No: </t>
  </si>
  <si>
    <t xml:space="preserve">Order Validity </t>
  </si>
  <si>
    <t xml:space="preserve">7 Days </t>
  </si>
  <si>
    <t xml:space="preserve">10 Days </t>
  </si>
  <si>
    <t xml:space="preserve">Rera Project no. </t>
  </si>
  <si>
    <t xml:space="preserve">Error Check </t>
  </si>
  <si>
    <t xml:space="preserve">Freight Condition </t>
  </si>
  <si>
    <t>HPF-01</t>
  </si>
  <si>
    <t>01</t>
  </si>
  <si>
    <t>Others:</t>
  </si>
  <si>
    <t xml:space="preserve"> HT  PRO REDUCING Y</t>
  </si>
  <si>
    <t>7070754877-i</t>
  </si>
  <si>
    <t>7070040877-i</t>
  </si>
  <si>
    <t xml:space="preserve"> US DOOR BEND 87.5</t>
  </si>
  <si>
    <t>Mfd Pipes India-HT</t>
  </si>
  <si>
    <t>Manufacturing Fittings -HT</t>
  </si>
  <si>
    <t>Fittings-HT</t>
  </si>
  <si>
    <t>Accessories</t>
  </si>
  <si>
    <t>Mfd Pipes India-US</t>
  </si>
  <si>
    <t>Fittings-US</t>
  </si>
  <si>
    <t>Clamps -US</t>
  </si>
  <si>
    <t>MLCP Fittings</t>
  </si>
  <si>
    <t>PPR Pipes</t>
  </si>
  <si>
    <t>PPR Fittings</t>
  </si>
  <si>
    <t>SS Pipes</t>
  </si>
  <si>
    <t>Fittings-SS</t>
  </si>
  <si>
    <t>40030460-i</t>
  </si>
  <si>
    <t>40040460-i</t>
  </si>
  <si>
    <t>40020860-i</t>
  </si>
  <si>
    <t>40040860-i</t>
  </si>
  <si>
    <t>40020867-i</t>
  </si>
  <si>
    <t>40040867-i</t>
  </si>
  <si>
    <t>40633460-i</t>
  </si>
  <si>
    <t>40644460-i</t>
  </si>
  <si>
    <t>40633860-i</t>
  </si>
  <si>
    <t>49140060-i</t>
  </si>
  <si>
    <t>41730050-i</t>
  </si>
  <si>
    <t>42143050-i</t>
  </si>
  <si>
    <t>41620050-i</t>
  </si>
  <si>
    <t>41640050-i</t>
  </si>
  <si>
    <t>60203651-i</t>
  </si>
  <si>
    <t>7070040470-i</t>
  </si>
  <si>
    <t>REVERSE REDUCER</t>
  </si>
  <si>
    <t>Devsh Arjariya</t>
  </si>
  <si>
    <t>42134050-i</t>
  </si>
  <si>
    <t>14040764860-i</t>
  </si>
  <si>
    <t>41264850-i</t>
  </si>
  <si>
    <t>49130060-i</t>
  </si>
  <si>
    <t>7070020870-i</t>
  </si>
  <si>
    <t>7071840070-i</t>
  </si>
  <si>
    <t>70713-i</t>
  </si>
  <si>
    <t>Press Tools</t>
  </si>
  <si>
    <t>7072134070-i</t>
  </si>
  <si>
    <t>ULTRA SILENT PIPE WITH ONE SOCKET L 3000</t>
  </si>
  <si>
    <t>ULTRA SILENT PIPE WITH TWO SOCKET L 3000</t>
  </si>
  <si>
    <t>ULTRA SILENT PIPE WITH ONE SOCKET L 250</t>
  </si>
  <si>
    <t>ULTRA SILENT PIPE WITH ONE SOCKET L 500</t>
  </si>
  <si>
    <t>ULTRA SILENT PIPE WITH ONE SOCKET L 1000</t>
  </si>
  <si>
    <t>ULTRA SILENT PIPE WITH ONE SOCKET L 1500</t>
  </si>
  <si>
    <t>ULTRA SILENT PIPE WITH ONE SOCKET L 2000</t>
  </si>
  <si>
    <t>ULTRA SILENT DOUBLE SOCKET PIPE L 500</t>
  </si>
  <si>
    <t>ULTRA SILENT DOUBLE SOCKET PIPE L 1000</t>
  </si>
  <si>
    <t>ULTRA SILENT DOUBLE SOCKET PIPE L 1500</t>
  </si>
  <si>
    <t>ULTRA SILENT DOUBLE SOCKET PIPE L 2000</t>
  </si>
  <si>
    <t>ULTRA SILENT BEND 15 DEG</t>
  </si>
  <si>
    <t>ULTRA SILENT BEND 30 DEG</t>
  </si>
  <si>
    <t>ULTRA SILENT BEND 45 DEG</t>
  </si>
  <si>
    <t>7070030470-i</t>
  </si>
  <si>
    <t>ULTRA SILENT BEND 67.5 DEG</t>
  </si>
  <si>
    <t>ULTRA SILENT BEND 87.5 DEG</t>
  </si>
  <si>
    <t>ULTRA SILENT DOOR BEND 87.5 DEG</t>
  </si>
  <si>
    <t>ULTRA SILENT WYE BRANCH 45 DEG</t>
  </si>
  <si>
    <t>7070643470-i</t>
  </si>
  <si>
    <t>7070644470-i</t>
  </si>
  <si>
    <t>ULTRA SILENT TEE BRANCH 90 DEG</t>
  </si>
  <si>
    <t>ULTRA SILENT TEE BRANCH 87.5 DEG</t>
  </si>
  <si>
    <t>ULTRA SILENT DOOR TEE BRANCH 87.5 DEG</t>
  </si>
  <si>
    <t>ULTRA SILENT DOUBLE SWEPT TEE BRANCH 87.5 DEG</t>
  </si>
  <si>
    <t>ULTRA SILENT CORNER BRANCH</t>
  </si>
  <si>
    <t>ULTRA SILENT DOUBLE BRANCH 67.5 DEG</t>
  </si>
  <si>
    <t>ULTRA SILENT INSPECTION PIPE</t>
  </si>
  <si>
    <t>ULTRA SILENT SLEEVE</t>
  </si>
  <si>
    <t>ULTRA SILENT DOUBLE SOCKET</t>
  </si>
  <si>
    <t>ULTRA SILENT ONE WAY SOCKET</t>
  </si>
  <si>
    <t>7071730275-i</t>
  </si>
  <si>
    <t>7071740275-i</t>
  </si>
  <si>
    <t>ULTRA SILENT REDUCER</t>
  </si>
  <si>
    <t xml:space="preserve">ULTRA SILENT REVERSE REDUCER </t>
  </si>
  <si>
    <t>ULTRA SILENT END CAP</t>
  </si>
  <si>
    <t>7071620070-i</t>
  </si>
  <si>
    <t>7071640070-i</t>
  </si>
  <si>
    <t>ULTRA SILENT LOCK SEAL</t>
  </si>
  <si>
    <t>ULTRA SILENT END LOCK</t>
  </si>
  <si>
    <t>STRAIGHT WC CONNECTOR</t>
  </si>
  <si>
    <t>STRAIGHT WC CONNECTOR WITH INSPECTION</t>
  </si>
  <si>
    <t>WC CONNECTOR BEND WITH INSPECTION</t>
  </si>
  <si>
    <t>ULTRA SILENT VETING CAP</t>
  </si>
  <si>
    <t>ULTRA SILENT P TRAP (50 MM WATER SEAL)</t>
  </si>
  <si>
    <t>ULTRA SILENT S TRAP 110 MM -i</t>
  </si>
  <si>
    <t>ULTRA SILENT MULTI FLOOR TRAP W/O RING</t>
  </si>
  <si>
    <t>ULTRA SILENT MULTI FLOOR TRAP WITH RING</t>
  </si>
  <si>
    <t xml:space="preserve">ULTRA SILENT MULTI FLOOR TRAP WITH SOCKET </t>
  </si>
  <si>
    <t xml:space="preserve">ULTRA SILENT NAHANI TRAP </t>
  </si>
  <si>
    <t>7079911100 B-i</t>
  </si>
  <si>
    <t>ULTRA SILENT H.A.F.F STACK</t>
  </si>
  <si>
    <t>SMARTLOCK -Trap 140/50 SINGLE DISCHARGE SHOWER TRAP 98.3 X 50</t>
  </si>
  <si>
    <t>98.3x50</t>
  </si>
  <si>
    <t>SMARTLOCK - Trap 245/50 SINGLE DISCHARGE- SHOWER TRAP 98.3 X 50</t>
  </si>
  <si>
    <t>SMARTLOCK - Trap 140/40/50 MULTI DISCHARGE- SHOWER TRAP 98.3 X 50</t>
  </si>
  <si>
    <t>SMARTLOCK -Trap 245/40/ 50 MULTI DISCHARGE SHOWER TRAP 98.3 X 50</t>
  </si>
  <si>
    <t>COLLECTOR 70/40 SINGLE DISCHARGE-  WITHOUT TRAP 98.3 X 40</t>
  </si>
  <si>
    <t>ULTRA SILENT HEIGHT RISER L 150</t>
  </si>
  <si>
    <t>ULTRA SILENT HEIGHT RISER L 350</t>
  </si>
  <si>
    <t xml:space="preserve"> HEIGHT RISER FOR SMART LOCK TRAP</t>
  </si>
  <si>
    <t>7071042877-i</t>
  </si>
  <si>
    <t>ULTRA SILENT DOUBLE BRANCH 180 DEG</t>
  </si>
  <si>
    <t>7071242877-i</t>
  </si>
  <si>
    <t>ULTRA SILENT CORNER BRANCH 90 DEG</t>
  </si>
  <si>
    <t>ULTRA SILENT HOPPER WITH 3 INLET</t>
  </si>
  <si>
    <t>7071043870-i</t>
  </si>
  <si>
    <t>7071243870-HM</t>
  </si>
  <si>
    <t>7890004070-S</t>
  </si>
  <si>
    <t>ULTRA SILENT HD SPLIT CLAMP</t>
  </si>
  <si>
    <t>7890005070-S</t>
  </si>
  <si>
    <t>7890007570-S</t>
  </si>
  <si>
    <t>7890011070-S</t>
  </si>
  <si>
    <t>7890012570-S</t>
  </si>
  <si>
    <t>7890016070-S</t>
  </si>
  <si>
    <t>7890020070-S</t>
  </si>
  <si>
    <t>DOUBLE SOCKET FOR CAST IRON + SEAL</t>
  </si>
  <si>
    <t>Rubber Gasket for US, USSW, USSWL</t>
  </si>
  <si>
    <t>S TRAP</t>
  </si>
  <si>
    <t>SMART LOCK TRAP</t>
  </si>
  <si>
    <t>HT. RISER FOR SMART LOCK TRAP</t>
  </si>
  <si>
    <t>HT. RISER FOR P TRAP WITH 50 MM 3 INLET</t>
  </si>
  <si>
    <t>HT. RISER FOR P TRAP WITH 75 MM 3 INLET</t>
  </si>
  <si>
    <t>HT. RISER FOR P TRAP WITH 2 INLET - 75 MM - 180 DEG</t>
  </si>
  <si>
    <t>HT. RISER FOR P TRAP WITH 2 INLET - 75 MM - 90 DEG</t>
  </si>
  <si>
    <t>TECHNICAL BEND/ SIPHON CONNECTOR</t>
  </si>
  <si>
    <t>TECHNICAL BEND/ SIPHON CONNECTOR LONG</t>
  </si>
  <si>
    <t>RUBBER GASKET</t>
  </si>
  <si>
    <t>HT PRO PIPE WITH ONE SOCKET L 3000</t>
  </si>
  <si>
    <t>HT PRO PIPE WITH TWO SOCKET L 3000</t>
  </si>
  <si>
    <t>HT PRO D/S PIPE 3 Mtr</t>
  </si>
  <si>
    <t>HT PRO PIPE WITH ONE SOCKET L 250</t>
  </si>
  <si>
    <t>HT PRO S/S PIPE 1 Ft.</t>
  </si>
  <si>
    <t xml:space="preserve">HT PRO PIPE WITH ONE SOCKET L 250 </t>
  </si>
  <si>
    <t>5401100025-i</t>
  </si>
  <si>
    <t>HT PRO PIPE WITH ONE SOCKET L 500</t>
  </si>
  <si>
    <t>HT PRO PIPE WITH ONE SOCKET L 1000</t>
  </si>
  <si>
    <t>HT PRO PIPE WITH ONE SOCKET L 1500</t>
  </si>
  <si>
    <t>HT PRO PIPE WITH ONE SOCKET L 2000</t>
  </si>
  <si>
    <t>HT PRO S/S PIPE 1.5 Ft.</t>
  </si>
  <si>
    <t>HT PRO S/S PIPE 3.0 Ft.</t>
  </si>
  <si>
    <t>HT PRO S/S PIPE 4.5 Ft.</t>
  </si>
  <si>
    <t>HT PRO S/S PIPE 6.0 Ft.</t>
  </si>
  <si>
    <t>HT PRO PIPE WITH TWO SOCKET L 500</t>
  </si>
  <si>
    <t>HT PRO D/S PIPE 1.5 Ft.</t>
  </si>
  <si>
    <t>HT PRO PIPE WITH TWO SOCKET L 1000</t>
  </si>
  <si>
    <t>HT PRO PIPE WITH TWO SOCKET L 1500</t>
  </si>
  <si>
    <t>HT PRO PIPE WITH TWO SOCKET L 2000</t>
  </si>
  <si>
    <t>HT PRO D/S PIPE 3.0 Ft.</t>
  </si>
  <si>
    <t>HT PRO D/S PIPE 4.5 Ft.</t>
  </si>
  <si>
    <t>HT PRO D/S PIPE 6.0 Ft.</t>
  </si>
  <si>
    <t>HT PRO BEND 15 DEG</t>
  </si>
  <si>
    <t>HT PRO BEND 30 DEG</t>
  </si>
  <si>
    <t>40010460-i</t>
  </si>
  <si>
    <t>HT PRO BEND 45 DEG</t>
  </si>
  <si>
    <t>40020460-i</t>
  </si>
  <si>
    <t>HT PRO DOOR BEND 45 DEG</t>
  </si>
  <si>
    <t>HT PRO DOOR BEND 45 DEG (RIGHT)</t>
  </si>
  <si>
    <t>HT PRO DOOR BEND 45 DEG (LEFT)</t>
  </si>
  <si>
    <t>40010860-i</t>
  </si>
  <si>
    <t>HT PRO BEND 87.5 DEG</t>
  </si>
  <si>
    <t>HT PRO DOOR BEND 87.5 DEG</t>
  </si>
  <si>
    <t>40040868-i</t>
  </si>
  <si>
    <t>HT PRO DOOR BEND 87.5 DEG (RIGHT)</t>
  </si>
  <si>
    <t>HT PRO DOOR BEND 87.5 DEG (LEFT)</t>
  </si>
  <si>
    <t>HT PRO WYE BRANCH 45 DEG</t>
  </si>
  <si>
    <t>HT PRO TEE BRANCH 90 DEG</t>
  </si>
  <si>
    <t>HT PRO TEE BRANCH 90 DEG - REGULAR</t>
  </si>
  <si>
    <t>HT PRO SWEPT TEE BRANCH 87.5 DEG</t>
  </si>
  <si>
    <t xml:space="preserve"> HT  PRO SINGLE TEE SWEPT</t>
  </si>
  <si>
    <t xml:space="preserve"> HT  PRO REDUCING TEE SWEPT</t>
  </si>
  <si>
    <t>HT PRO REDUCING TEE SWEPT</t>
  </si>
  <si>
    <t>HT PRO DOUBLE SWEPT TEE BRANCH 87.5 DEG</t>
  </si>
  <si>
    <t>HT PRO DOUBLE BRANCH 87.5 &amp; 90 DEG</t>
  </si>
  <si>
    <t>HT PRO DOOR TEE BRANCH 90 DEG DEG</t>
  </si>
  <si>
    <t>HT PRO DOOR TEE SWEPT</t>
  </si>
  <si>
    <t>HT PRO SWEPT DOOR TEE BRANCH 87.5 DEG</t>
  </si>
  <si>
    <t>HT  PRO DOOR TEE SWEPT</t>
  </si>
  <si>
    <t>40754867-HM</t>
  </si>
  <si>
    <t>41044857-HM</t>
  </si>
  <si>
    <t>HT PRO DOUBLE SWEPT DOOR TEE BRANCH 87.5 DEG</t>
  </si>
  <si>
    <t>HT  PRO DOUBLE TEE SWEPT DOOR</t>
  </si>
  <si>
    <t>HT PRO TEE BRANCH 90 DEG (SHORT)</t>
  </si>
  <si>
    <t>HT PRO DOUBLE WYE BRANCH 45 DEG</t>
  </si>
  <si>
    <t>HT PRO DOUBLE Y</t>
  </si>
  <si>
    <t>HT PRO DOUBLE WYE BRANCH 45 DEG (DOOR)</t>
  </si>
  <si>
    <t>HT PRO CORNER BRANCH 87 DEG</t>
  </si>
  <si>
    <t xml:space="preserve">HT PRO INSPECTION PIPE  </t>
  </si>
  <si>
    <t>41710055-i</t>
  </si>
  <si>
    <t>HT PRO DOUBLE SOCKET</t>
  </si>
  <si>
    <t>41720055-i</t>
  </si>
  <si>
    <t>HT PRO ONE WAY SOCKET</t>
  </si>
  <si>
    <t>41740055-i</t>
  </si>
  <si>
    <t>HT PRO SLEEVE</t>
  </si>
  <si>
    <t>ECCENTRIC REDUCER</t>
  </si>
  <si>
    <t>HT PRO REVERSE REDUCER</t>
  </si>
  <si>
    <t>ECCENTRIC REVERSE REDUCER</t>
  </si>
  <si>
    <t>HT PRO END PLUG</t>
  </si>
  <si>
    <t>41630050-i</t>
  </si>
  <si>
    <t>HT PRO VENTING CAP</t>
  </si>
  <si>
    <t>5401106650-i</t>
  </si>
  <si>
    <t>HT PRO BOSS CONNECTOR 110 x L660 mm WITH ONE INLET</t>
  </si>
  <si>
    <t>HT PRO BOSS PIPE (123+50+430)</t>
  </si>
  <si>
    <t>540110502-i</t>
  </si>
  <si>
    <t>HT PRO BOSS CONNECTOR 110 x L660 mm DOUBLE BRANCH</t>
  </si>
  <si>
    <t>5401105102-i</t>
  </si>
  <si>
    <t>HT PRO BOSS CONNECTOR 110 x L660 mm CORNER BRANCH</t>
  </si>
  <si>
    <t>540110503-i</t>
  </si>
  <si>
    <t>HT PRO BOSS CONNECTOR 110 x L660 mm TRIPLE BRANCH</t>
  </si>
  <si>
    <t>HT PRO P TRAP (50 MM WATER SEAL)</t>
  </si>
  <si>
    <t>HT PRO S TRAP (SIPHONE TYPE)</t>
  </si>
  <si>
    <t>HT PRO NAHANI TRAP</t>
  </si>
  <si>
    <t>41242850-i</t>
  </si>
  <si>
    <t>HT PRO DOUBLE BRANCH 87.5 DEG</t>
  </si>
  <si>
    <t>HT PRO HOPPER WITH 3 INLET</t>
  </si>
  <si>
    <t>HT. RISER WITH 3 INLET</t>
  </si>
  <si>
    <t>HT PRO MULTI FLOOR TRAP (50 MM WATER SEAL)</t>
  </si>
  <si>
    <t>14048111060 G-i</t>
  </si>
  <si>
    <t>HT PRO MULTI FLOOR TRAP SOCKETED</t>
  </si>
  <si>
    <t>HT PRO HEIGHT RISER L 150</t>
  </si>
  <si>
    <t>HT PRO HEIGHT RISER L 350</t>
  </si>
  <si>
    <t>4049911100 G-i</t>
  </si>
  <si>
    <t>HT PRO H.A.F.F STACK</t>
  </si>
  <si>
    <t>H.A.F.F STACK FOR SINGLE STACK</t>
  </si>
  <si>
    <t>110X110X75</t>
  </si>
  <si>
    <t>48100040-S</t>
  </si>
  <si>
    <t>HT PRO SPLIT CLAMP</t>
  </si>
  <si>
    <t>HT PRO CLAMP 40</t>
  </si>
  <si>
    <t>48100050-S</t>
  </si>
  <si>
    <t>HT PRO CLAMP 50</t>
  </si>
  <si>
    <t>48100075-S</t>
  </si>
  <si>
    <t>HT PRO CLAMP 75</t>
  </si>
  <si>
    <t>48100011-S</t>
  </si>
  <si>
    <t>HT PRO CLAMP 110</t>
  </si>
  <si>
    <t>48100012-S</t>
  </si>
  <si>
    <t>HT PRO CLAMP 125</t>
  </si>
  <si>
    <t>48100016-S</t>
  </si>
  <si>
    <t>HT PRO CLAMP 160</t>
  </si>
  <si>
    <t>48100020-S</t>
  </si>
  <si>
    <t>HT PRO CLAMP 200</t>
  </si>
  <si>
    <t>AQUASLIM FULL S. STEEL 330 TILES</t>
  </si>
  <si>
    <t>AQUASLIM FULL S. STEEL 700 TILES</t>
  </si>
  <si>
    <t>HTPRO FITTINGS - HAND MADE</t>
  </si>
  <si>
    <t>HT PRO BOSS PIE - HAND MADE</t>
  </si>
  <si>
    <t>HTPRO MULTIFLOOR TRAP WITH SOCKET</t>
  </si>
  <si>
    <t>HTPRO GRATING</t>
  </si>
  <si>
    <t xml:space="preserve">SHOWER CHANNEL </t>
  </si>
  <si>
    <t>US FITTINGS - HAND MADE</t>
  </si>
  <si>
    <t>FEMALE THREADED ADAPTER 32x1'1/4 - KLIMAPRESS</t>
  </si>
  <si>
    <t>FEMALE THREADED ADAPTER 40x1'1/2 - KLIMAPRESS</t>
  </si>
  <si>
    <t>MALE THREADED ADAPTER  32x1'1/4 - KLIMAPRESS</t>
  </si>
  <si>
    <t>MALE THREADED ADAPTER  40x1'1/2 - KLIMAPRESS</t>
  </si>
  <si>
    <t>MALE THREADED ADAPTER  50x2 - KLIMAPRESS</t>
  </si>
  <si>
    <t>32x1'1/4</t>
  </si>
  <si>
    <t>REDUCER 40x20 - KLIMAPRESS</t>
  </si>
  <si>
    <t>LOOSE NUT SOCKET 16x1/2" - KLIMAPRESS</t>
  </si>
  <si>
    <t>LOOSE NUT SOCKET 20x1/2" - KLIMAPRESS</t>
  </si>
  <si>
    <t>LOOSE NUT SOCKET 20x3/4" - KLIMAPRESS</t>
  </si>
  <si>
    <t>LOOSE NUT SOCKET 25x3/4" - KLIMAPRESS</t>
  </si>
  <si>
    <t>K234027-L</t>
  </si>
  <si>
    <t>LOOSE NUT ADAPTER 25x1 - KLIMAPRESS</t>
  </si>
  <si>
    <t>LOOSE NUT SOCKET 32x1" - KLIMAPRESS</t>
  </si>
  <si>
    <t>K234034-L</t>
  </si>
  <si>
    <t>LOOSE NUT ADAPTER 32x1"1/4 - KLIMAPRESS</t>
  </si>
  <si>
    <t>ELBOW 90º 90x90 - KLIMAPRESS</t>
  </si>
  <si>
    <t>FEMALE ELBOW 90º 90x3 - KLIMAPRESS</t>
  </si>
  <si>
    <t>FEMALE ELBOW 90º 110x4 - KLIMAPRESS</t>
  </si>
  <si>
    <t>Manifold with stop valve, 3/4" main and 1/2" branch</t>
  </si>
  <si>
    <t>Manifold with stop valve, 1" main and 3/4" branch</t>
  </si>
  <si>
    <t>Manifold with stop valve, 1" main and 1/2" branch</t>
  </si>
  <si>
    <t>MANUAL PRESS TOOL (BLUE KIT)</t>
  </si>
  <si>
    <t>MANUAL PRESS TOOL 360 DEG</t>
  </si>
  <si>
    <t>41054850-i</t>
  </si>
  <si>
    <t>7071054870-i</t>
  </si>
  <si>
    <t>ULTRA SILENT PRO DOUBLE BRANCH 87.5 &amp; 90 DEG</t>
  </si>
  <si>
    <t>BL 40</t>
  </si>
  <si>
    <t>Lip Seal Ring BL 40</t>
  </si>
  <si>
    <t>BL 50</t>
  </si>
  <si>
    <t>Lip Seal Ring BL 50</t>
  </si>
  <si>
    <t>BL 75</t>
  </si>
  <si>
    <t>Lip Seal Ring BL 75</t>
  </si>
  <si>
    <t>BL 110</t>
  </si>
  <si>
    <t>Lip Seal Ring BL 110</t>
  </si>
  <si>
    <t>BL 160</t>
  </si>
  <si>
    <t>Lip Seal Ring BL 160</t>
  </si>
  <si>
    <t>BL 200</t>
  </si>
  <si>
    <t>Lip Seal Ring BL 200</t>
  </si>
  <si>
    <t>MLCP PIPE - INSULATED</t>
  </si>
  <si>
    <t>Press Tools Jaw</t>
  </si>
  <si>
    <t>Press Tools Ada[ter</t>
  </si>
  <si>
    <t xml:space="preserve">DWC PIPE </t>
  </si>
  <si>
    <t xml:space="preserve">On Request </t>
  </si>
  <si>
    <t>PRESS INOX STAINLESS STEEL PIPES 316 L</t>
  </si>
  <si>
    <t>PRESS INOX MALE THREADED ELBOW</t>
  </si>
  <si>
    <t>PRESS INOX  FEMALE THREADED ELBOW</t>
  </si>
  <si>
    <t>PRESS INOX  FEMALE THREADED TEE</t>
  </si>
  <si>
    <t>PRESS INOX MALE THREADED ADAPTER</t>
  </si>
  <si>
    <t>PRESS INOX FEMALE THREADED ADAPTER</t>
  </si>
  <si>
    <t>PRESS INOX SLIDING SLEEVES</t>
  </si>
  <si>
    <t>PRESS INOX FEMALE STRAIGHT UNION CONNECTOR</t>
  </si>
  <si>
    <t>PRESS INOX MALE STRAIGHT UNION CONNECTOR</t>
  </si>
  <si>
    <t>PRESS INOX SWIVEL TYPE FEMALE CONNECTOR</t>
  </si>
  <si>
    <t>PRESS INOX FEMALE WALL PLATE THREADED ELBOW</t>
  </si>
  <si>
    <t>PRESS INOX EQUAL 90 DEG ELBOW</t>
  </si>
  <si>
    <t>PRESS INOX OBTUSE 45 DEG ELBOW</t>
  </si>
  <si>
    <t>PRESS INOX ST CROSS OVER COUPLER</t>
  </si>
  <si>
    <t xml:space="preserve">PRESS INOX LONG CROSS OVER </t>
  </si>
  <si>
    <t>PRESS INOX EQUAL TEE</t>
  </si>
  <si>
    <t>PRESS INOX REDUCING  TEE</t>
  </si>
  <si>
    <t>PRESS INOX FITTINGS REDUCER</t>
  </si>
  <si>
    <t>PRESS INOX STRAIGHT COUPLER</t>
  </si>
  <si>
    <t>PRESS INOX END CAP</t>
  </si>
  <si>
    <t>PS4355 0351100</t>
  </si>
  <si>
    <t>35 x 1' 1/4</t>
  </si>
  <si>
    <t>PS5230D0220000</t>
  </si>
  <si>
    <t>PS5230D0280000</t>
  </si>
  <si>
    <t>PS5230D0350000</t>
  </si>
  <si>
    <t>PS5230D0420000</t>
  </si>
  <si>
    <t>PS5230D0540000</t>
  </si>
  <si>
    <t>PS5230D0760000</t>
  </si>
  <si>
    <t>PS5230D0890000</t>
  </si>
  <si>
    <t>PS5230D1080000</t>
  </si>
  <si>
    <t>FLANGE ADAPTER</t>
  </si>
  <si>
    <t>PRESS INOX FLANGE ADAPTER</t>
  </si>
  <si>
    <t xml:space="preserve">RERA </t>
  </si>
  <si>
    <t>Bunglow</t>
  </si>
  <si>
    <t>Hospital</t>
  </si>
  <si>
    <t xml:space="preserve">Hotel </t>
  </si>
  <si>
    <t xml:space="preserve">Government Project </t>
  </si>
  <si>
    <t>10.04.2026</t>
  </si>
  <si>
    <t>Important Note : 
RERA number is mandatory. The order value will be displayed as "0" until a valid RERA number for the project is entered. Sales Order will not be processed without this information.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</si>
</sst>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* #,##0.00_ ;_ * \-#,##0.00_ ;_ * &quot;-&quot;??_ ;_ @_ "/>
    <numFmt numFmtId="165" formatCode="[$-409]d\-mmm\-yy;@"/>
    <numFmt numFmtId="166" formatCode="_(* #,##0_);_(* \(#,##0\);_(* &quot;-&quot;??_);_(@_)"/>
    <numFmt numFmtId="167" formatCode="_ [$₹-4009]\ * #,##0_ ;_ [$₹-4009]\ * \-#,##0_ ;_ [$₹-4009]\ * &quot;-&quot;??_ ;_ @_ "/>
    <numFmt numFmtId="168" formatCode="0.00000000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charset val="177"/>
      <scheme val="minor"/>
    </font>
    <font>
      <sz val="11"/>
      <color rgb="FF000000"/>
      <name val="Calibri"/>
      <family val="2"/>
    </font>
    <font>
      <b/>
      <sz val="12"/>
      <name val="Calibri"/>
      <family val="2"/>
      <scheme val="minor"/>
    </font>
    <font>
      <b/>
      <sz val="16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Calibri"/>
      <family val="2"/>
    </font>
    <font>
      <sz val="11"/>
      <color rgb="FF000000"/>
      <name val="Calibri"/>
      <family val="2"/>
      <charset val="204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36"/>
      <name val="Calibri"/>
      <family val="2"/>
      <scheme val="minor"/>
    </font>
    <font>
      <sz val="11"/>
      <name val="Calibri"/>
      <family val="2"/>
    </font>
    <font>
      <b/>
      <sz val="26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u/>
      <sz val="11"/>
      <color rgb="FF0463C1"/>
      <name val="Calibri"/>
      <family val="2"/>
    </font>
    <font>
      <sz val="11"/>
      <color rgb="FF000000"/>
      <name val="Arial"/>
      <family val="2"/>
    </font>
    <font>
      <b/>
      <sz val="16"/>
      <name val="Calibri"/>
      <family val="2"/>
    </font>
    <font>
      <sz val="9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E6E4E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3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6" fillId="0" borderId="0"/>
    <xf numFmtId="0" fontId="7" fillId="0" borderId="0"/>
    <xf numFmtId="0" fontId="8" fillId="0" borderId="0"/>
    <xf numFmtId="0" fontId="1" fillId="0" borderId="0"/>
    <xf numFmtId="9" fontId="7" fillId="0" borderId="0" applyFont="0" applyFill="0" applyBorder="0" applyAlignment="0" applyProtection="0"/>
    <xf numFmtId="0" fontId="1" fillId="0" borderId="0"/>
    <xf numFmtId="0" fontId="6" fillId="0" borderId="0"/>
    <xf numFmtId="0" fontId="6" fillId="0" borderId="0"/>
    <xf numFmtId="164" fontId="17" fillId="0" borderId="0" applyFont="0" applyFill="0" applyBorder="0" applyAlignment="0" applyProtection="0"/>
    <xf numFmtId="0" fontId="17" fillId="0" borderId="0"/>
    <xf numFmtId="0" fontId="21" fillId="0" borderId="0">
      <alignment vertical="center"/>
    </xf>
    <xf numFmtId="0" fontId="23" fillId="0" borderId="0">
      <alignment vertical="center"/>
    </xf>
    <xf numFmtId="9" fontId="24" fillId="0" borderId="0">
      <protection locked="0"/>
    </xf>
    <xf numFmtId="0" fontId="25" fillId="0" borderId="0">
      <protection locked="0"/>
    </xf>
    <xf numFmtId="164" fontId="24" fillId="0" borderId="0">
      <protection locked="0"/>
    </xf>
    <xf numFmtId="0" fontId="24" fillId="0" borderId="0">
      <protection locked="0"/>
    </xf>
    <xf numFmtId="0" fontId="26" fillId="0" borderId="0">
      <protection locked="0"/>
    </xf>
    <xf numFmtId="0" fontId="26" fillId="0" borderId="0">
      <protection locked="0"/>
    </xf>
    <xf numFmtId="0" fontId="24" fillId="0" borderId="0">
      <protection locked="0"/>
    </xf>
    <xf numFmtId="0" fontId="26" fillId="0" borderId="0">
      <protection locked="0"/>
    </xf>
    <xf numFmtId="0" fontId="24" fillId="0" borderId="0">
      <protection locked="0"/>
    </xf>
    <xf numFmtId="164" fontId="1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21" fillId="0" borderId="0">
      <alignment vertical="center"/>
    </xf>
    <xf numFmtId="9" fontId="8" fillId="0" borderId="0">
      <protection locked="0"/>
    </xf>
    <xf numFmtId="164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</cellStyleXfs>
  <cellXfs count="224">
    <xf numFmtId="0" fontId="0" fillId="0" borderId="0" xfId="0"/>
    <xf numFmtId="0" fontId="19" fillId="0" borderId="0" xfId="0" applyFont="1"/>
    <xf numFmtId="0" fontId="19" fillId="0" borderId="0" xfId="0" applyFont="1" applyProtection="1">
      <protection locked="0"/>
    </xf>
    <xf numFmtId="0" fontId="19" fillId="0" borderId="0" xfId="0" applyFont="1" applyAlignment="1" applyProtection="1">
      <alignment vertical="center"/>
      <protection locked="0"/>
    </xf>
    <xf numFmtId="0" fontId="18" fillId="2" borderId="27" xfId="0" applyFont="1" applyFill="1" applyBorder="1" applyProtection="1">
      <protection locked="0"/>
    </xf>
    <xf numFmtId="0" fontId="18" fillId="2" borderId="27" xfId="0" applyFont="1" applyFill="1" applyBorder="1" applyAlignment="1" applyProtection="1">
      <alignment horizontal="left"/>
      <protection locked="0"/>
    </xf>
    <xf numFmtId="165" fontId="18" fillId="2" borderId="26" xfId="0" applyNumberFormat="1" applyFont="1" applyFill="1" applyBorder="1" applyProtection="1">
      <protection locked="0"/>
    </xf>
    <xf numFmtId="0" fontId="18" fillId="2" borderId="1" xfId="0" applyFont="1" applyFill="1" applyBorder="1" applyAlignment="1" applyProtection="1">
      <alignment horizontal="left"/>
      <protection hidden="1"/>
    </xf>
    <xf numFmtId="0" fontId="18" fillId="2" borderId="19" xfId="0" applyFont="1" applyFill="1" applyBorder="1" applyAlignment="1" applyProtection="1">
      <alignment horizontal="left"/>
      <protection hidden="1"/>
    </xf>
    <xf numFmtId="0" fontId="18" fillId="2" borderId="7" xfId="0" applyFont="1" applyFill="1" applyBorder="1" applyAlignment="1" applyProtection="1">
      <alignment horizontal="left"/>
      <protection hidden="1"/>
    </xf>
    <xf numFmtId="0" fontId="18" fillId="2" borderId="20" xfId="0" applyFont="1" applyFill="1" applyBorder="1" applyAlignment="1" applyProtection="1">
      <alignment horizontal="left"/>
      <protection hidden="1"/>
    </xf>
    <xf numFmtId="0" fontId="18" fillId="2" borderId="7" xfId="0" applyFont="1" applyFill="1" applyBorder="1" applyAlignment="1" applyProtection="1">
      <alignment horizontal="left" wrapText="1"/>
      <protection hidden="1"/>
    </xf>
    <xf numFmtId="0" fontId="12" fillId="3" borderId="10" xfId="0" applyFont="1" applyFill="1" applyBorder="1" applyAlignment="1" applyProtection="1">
      <alignment horizontal="left" vertical="center"/>
      <protection hidden="1"/>
    </xf>
    <xf numFmtId="0" fontId="11" fillId="3" borderId="10" xfId="0" applyFont="1" applyFill="1" applyBorder="1" applyAlignment="1" applyProtection="1">
      <alignment horizontal="center" vertical="center"/>
      <protection hidden="1"/>
    </xf>
    <xf numFmtId="0" fontId="12" fillId="3" borderId="10" xfId="0" applyFont="1" applyFill="1" applyBorder="1" applyAlignment="1" applyProtection="1">
      <alignment horizontal="center" vertical="center"/>
      <protection hidden="1"/>
    </xf>
    <xf numFmtId="1" fontId="5" fillId="3" borderId="10" xfId="0" applyNumberFormat="1" applyFont="1" applyFill="1" applyBorder="1" applyAlignment="1" applyProtection="1">
      <alignment horizontal="center" vertical="center"/>
      <protection hidden="1"/>
    </xf>
    <xf numFmtId="0" fontId="13" fillId="3" borderId="10" xfId="3" applyFont="1" applyFill="1" applyBorder="1" applyAlignment="1" applyProtection="1">
      <alignment horizontal="center" vertical="center"/>
      <protection hidden="1"/>
    </xf>
    <xf numFmtId="9" fontId="3" fillId="3" borderId="10" xfId="0" applyNumberFormat="1" applyFont="1" applyFill="1" applyBorder="1" applyAlignment="1" applyProtection="1">
      <alignment horizontal="center" vertical="center"/>
      <protection hidden="1"/>
    </xf>
    <xf numFmtId="0" fontId="3" fillId="3" borderId="10" xfId="0" applyFont="1" applyFill="1" applyBorder="1" applyAlignment="1" applyProtection="1">
      <alignment horizontal="center" vertical="center"/>
      <protection hidden="1"/>
    </xf>
    <xf numFmtId="0" fontId="15" fillId="3" borderId="10" xfId="0" applyFont="1" applyFill="1" applyBorder="1" applyAlignment="1" applyProtection="1">
      <alignment horizontal="center"/>
      <protection hidden="1"/>
    </xf>
    <xf numFmtId="0" fontId="11" fillId="3" borderId="10" xfId="10" applyFont="1" applyFill="1" applyBorder="1" applyAlignment="1" applyProtection="1">
      <alignment horizontal="left" vertical="center"/>
      <protection hidden="1"/>
    </xf>
    <xf numFmtId="0" fontId="11" fillId="3" borderId="10" xfId="10" applyFont="1" applyFill="1" applyBorder="1" applyAlignment="1" applyProtection="1">
      <alignment horizontal="center" vertical="center"/>
      <protection hidden="1"/>
    </xf>
    <xf numFmtId="1" fontId="11" fillId="3" borderId="10" xfId="0" applyNumberFormat="1" applyFont="1" applyFill="1" applyBorder="1" applyAlignment="1" applyProtection="1">
      <alignment horizontal="center" vertical="center"/>
      <protection hidden="1"/>
    </xf>
    <xf numFmtId="0" fontId="11" fillId="3" borderId="10" xfId="0" applyFont="1" applyFill="1" applyBorder="1" applyAlignment="1" applyProtection="1">
      <alignment horizontal="left" vertical="center"/>
      <protection hidden="1"/>
    </xf>
    <xf numFmtId="0" fontId="12" fillId="3" borderId="10" xfId="10" applyFont="1" applyFill="1" applyBorder="1" applyAlignment="1" applyProtection="1">
      <alignment horizontal="left" vertical="center"/>
      <protection hidden="1"/>
    </xf>
    <xf numFmtId="1" fontId="12" fillId="3" borderId="10" xfId="7" applyNumberFormat="1" applyFont="1" applyFill="1" applyBorder="1" applyAlignment="1" applyProtection="1">
      <alignment horizontal="center" vertical="center"/>
      <protection hidden="1"/>
    </xf>
    <xf numFmtId="0" fontId="12" fillId="3" borderId="10" xfId="7" applyFont="1" applyFill="1" applyBorder="1" applyAlignment="1" applyProtection="1">
      <alignment horizontal="center" vertical="center"/>
      <protection hidden="1"/>
    </xf>
    <xf numFmtId="1" fontId="11" fillId="3" borderId="10" xfId="0" applyNumberFormat="1" applyFont="1" applyFill="1" applyBorder="1" applyAlignment="1" applyProtection="1">
      <alignment horizontal="left" vertical="center"/>
      <protection hidden="1"/>
    </xf>
    <xf numFmtId="0" fontId="11" fillId="4" borderId="10" xfId="11" applyFont="1" applyFill="1" applyBorder="1" applyAlignment="1" applyProtection="1">
      <alignment horizontal="left" vertical="center"/>
      <protection hidden="1"/>
    </xf>
    <xf numFmtId="0" fontId="12" fillId="3" borderId="10" xfId="10" applyFont="1" applyFill="1" applyBorder="1" applyAlignment="1" applyProtection="1">
      <alignment horizontal="left" vertical="center" wrapText="1"/>
      <protection hidden="1"/>
    </xf>
    <xf numFmtId="1" fontId="12" fillId="3" borderId="10" xfId="0" applyNumberFormat="1" applyFont="1" applyFill="1" applyBorder="1" applyAlignment="1" applyProtection="1">
      <alignment horizontal="center" vertical="center"/>
      <protection hidden="1"/>
    </xf>
    <xf numFmtId="0" fontId="12" fillId="3" borderId="10" xfId="0" applyFont="1" applyFill="1" applyBorder="1" applyAlignment="1" applyProtection="1">
      <alignment horizontal="center" vertical="center" wrapText="1"/>
      <protection hidden="1"/>
    </xf>
    <xf numFmtId="0" fontId="11" fillId="3" borderId="10" xfId="0" applyFont="1" applyFill="1" applyBorder="1" applyAlignment="1" applyProtection="1">
      <alignment horizontal="left" vertical="center" wrapText="1"/>
      <protection hidden="1"/>
    </xf>
    <xf numFmtId="0" fontId="16" fillId="3" borderId="10" xfId="9" applyFont="1" applyFill="1" applyBorder="1" applyAlignment="1" applyProtection="1">
      <alignment horizontal="left" vertical="center" wrapText="1"/>
      <protection hidden="1"/>
    </xf>
    <xf numFmtId="0" fontId="12" fillId="3" borderId="10" xfId="3" applyFont="1" applyFill="1" applyBorder="1" applyAlignment="1" applyProtection="1">
      <alignment horizontal="center" vertical="center"/>
      <protection hidden="1"/>
    </xf>
    <xf numFmtId="0" fontId="15" fillId="3" borderId="10" xfId="0" applyFont="1" applyFill="1" applyBorder="1" applyAlignment="1" applyProtection="1">
      <alignment horizontal="center" vertical="center"/>
      <protection hidden="1"/>
    </xf>
    <xf numFmtId="0" fontId="18" fillId="2" borderId="2" xfId="0" applyFont="1" applyFill="1" applyBorder="1" applyAlignment="1" applyProtection="1">
      <alignment horizontal="left"/>
      <protection hidden="1"/>
    </xf>
    <xf numFmtId="0" fontId="18" fillId="2" borderId="0" xfId="0" applyFont="1" applyFill="1" applyAlignment="1" applyProtection="1">
      <alignment horizontal="left"/>
      <protection hidden="1"/>
    </xf>
    <xf numFmtId="0" fontId="18" fillId="3" borderId="1" xfId="0" applyFont="1" applyFill="1" applyBorder="1" applyAlignment="1" applyProtection="1">
      <alignment horizontal="left"/>
      <protection locked="0"/>
    </xf>
    <xf numFmtId="0" fontId="18" fillId="3" borderId="2" xfId="0" applyFont="1" applyFill="1" applyBorder="1" applyAlignment="1" applyProtection="1">
      <alignment horizontal="left"/>
      <protection locked="0"/>
    </xf>
    <xf numFmtId="0" fontId="18" fillId="3" borderId="19" xfId="0" applyFont="1" applyFill="1" applyBorder="1" applyAlignment="1" applyProtection="1">
      <alignment horizontal="left"/>
      <protection locked="0"/>
    </xf>
    <xf numFmtId="0" fontId="18" fillId="3" borderId="7" xfId="0" applyFont="1" applyFill="1" applyBorder="1" applyAlignment="1" applyProtection="1">
      <alignment horizontal="left"/>
      <protection locked="0"/>
    </xf>
    <xf numFmtId="0" fontId="18" fillId="3" borderId="0" xfId="0" applyFont="1" applyFill="1" applyAlignment="1" applyProtection="1">
      <alignment horizontal="left"/>
      <protection locked="0"/>
    </xf>
    <xf numFmtId="0" fontId="18" fillId="3" borderId="20" xfId="0" applyFont="1" applyFill="1" applyBorder="1" applyAlignment="1" applyProtection="1">
      <alignment horizontal="left"/>
      <protection locked="0"/>
    </xf>
    <xf numFmtId="0" fontId="18" fillId="3" borderId="12" xfId="0" applyFont="1" applyFill="1" applyBorder="1" applyAlignment="1" applyProtection="1">
      <alignment horizontal="left"/>
      <protection locked="0"/>
    </xf>
    <xf numFmtId="0" fontId="18" fillId="3" borderId="13" xfId="0" applyFont="1" applyFill="1" applyBorder="1" applyAlignment="1" applyProtection="1">
      <alignment horizontal="left"/>
      <protection locked="0"/>
    </xf>
    <xf numFmtId="0" fontId="18" fillId="3" borderId="18" xfId="0" applyFont="1" applyFill="1" applyBorder="1" applyAlignment="1" applyProtection="1">
      <alignment horizontal="left"/>
      <protection locked="0"/>
    </xf>
    <xf numFmtId="0" fontId="18" fillId="3" borderId="27" xfId="0" applyFont="1" applyFill="1" applyBorder="1" applyAlignment="1" applyProtection="1">
      <alignment horizontal="left"/>
      <protection locked="0"/>
    </xf>
    <xf numFmtId="16" fontId="11" fillId="3" borderId="10" xfId="0" applyNumberFormat="1" applyFont="1" applyFill="1" applyBorder="1" applyAlignment="1" applyProtection="1">
      <alignment horizontal="center" vertical="center"/>
      <protection hidden="1"/>
    </xf>
    <xf numFmtId="0" fontId="15" fillId="3" borderId="0" xfId="4" applyFont="1" applyFill="1" applyAlignment="1" applyProtection="1">
      <alignment horizontal="center" vertical="center"/>
      <protection hidden="1"/>
    </xf>
    <xf numFmtId="0" fontId="15" fillId="3" borderId="0" xfId="0" applyFont="1" applyFill="1" applyAlignment="1" applyProtection="1">
      <alignment horizontal="center"/>
      <protection hidden="1"/>
    </xf>
    <xf numFmtId="1" fontId="27" fillId="5" borderId="10" xfId="3" applyNumberFormat="1" applyFont="1" applyFill="1" applyBorder="1" applyAlignment="1" applyProtection="1">
      <alignment horizontal="center" vertical="center"/>
      <protection locked="0"/>
    </xf>
    <xf numFmtId="9" fontId="13" fillId="3" borderId="10" xfId="0" applyNumberFormat="1" applyFont="1" applyFill="1" applyBorder="1" applyAlignment="1" applyProtection="1">
      <alignment horizontal="center" vertical="center"/>
      <protection hidden="1"/>
    </xf>
    <xf numFmtId="0" fontId="13" fillId="3" borderId="10" xfId="0" applyFont="1" applyFill="1" applyBorder="1" applyAlignment="1" applyProtection="1">
      <alignment horizontal="center" vertical="center"/>
      <protection hidden="1"/>
    </xf>
    <xf numFmtId="0" fontId="28" fillId="3" borderId="0" xfId="0" applyFont="1" applyFill="1" applyAlignment="1" applyProtection="1">
      <alignment horizontal="center"/>
      <protection hidden="1"/>
    </xf>
    <xf numFmtId="0" fontId="12" fillId="3" borderId="10" xfId="0" applyFont="1" applyFill="1" applyBorder="1" applyAlignment="1" applyProtection="1">
      <alignment horizontal="left" vertical="center" wrapText="1"/>
      <protection hidden="1"/>
    </xf>
    <xf numFmtId="1" fontId="12" fillId="3" borderId="10" xfId="7" applyNumberFormat="1" applyFont="1" applyFill="1" applyBorder="1" applyAlignment="1" applyProtection="1">
      <alignment horizontal="left" vertical="center"/>
      <protection hidden="1"/>
    </xf>
    <xf numFmtId="0" fontId="12" fillId="3" borderId="10" xfId="3" applyFont="1" applyFill="1" applyBorder="1" applyAlignment="1" applyProtection="1">
      <alignment horizontal="left" vertical="center"/>
      <protection hidden="1"/>
    </xf>
    <xf numFmtId="0" fontId="15" fillId="3" borderId="10" xfId="0" applyFont="1" applyFill="1" applyBorder="1" applyAlignment="1" applyProtection="1">
      <alignment horizontal="left"/>
      <protection hidden="1"/>
    </xf>
    <xf numFmtId="0" fontId="29" fillId="0" borderId="10" xfId="0" applyFont="1" applyBorder="1"/>
    <xf numFmtId="0" fontId="29" fillId="0" borderId="9" xfId="0" applyFont="1" applyBorder="1"/>
    <xf numFmtId="0" fontId="29" fillId="0" borderId="0" xfId="0" applyFont="1"/>
    <xf numFmtId="0" fontId="0" fillId="0" borderId="10" xfId="0" applyBorder="1"/>
    <xf numFmtId="0" fontId="0" fillId="0" borderId="9" xfId="0" applyBorder="1"/>
    <xf numFmtId="14" fontId="0" fillId="0" borderId="0" xfId="0" applyNumberFormat="1"/>
    <xf numFmtId="0" fontId="0" fillId="0" borderId="10" xfId="0" applyBorder="1" applyProtection="1">
      <protection locked="0"/>
    </xf>
    <xf numFmtId="0" fontId="18" fillId="2" borderId="7" xfId="0" applyFont="1" applyFill="1" applyBorder="1" applyAlignment="1" applyProtection="1">
      <alignment horizontal="left"/>
      <protection locked="0"/>
    </xf>
    <xf numFmtId="0" fontId="18" fillId="2" borderId="0" xfId="0" applyFont="1" applyFill="1" applyAlignment="1" applyProtection="1">
      <alignment horizontal="left"/>
      <protection locked="0"/>
    </xf>
    <xf numFmtId="0" fontId="18" fillId="2" borderId="20" xfId="0" applyFont="1" applyFill="1" applyBorder="1" applyAlignment="1" applyProtection="1">
      <alignment horizontal="left"/>
      <protection locked="0"/>
    </xf>
    <xf numFmtId="0" fontId="18" fillId="2" borderId="12" xfId="0" applyFont="1" applyFill="1" applyBorder="1" applyAlignment="1" applyProtection="1">
      <alignment horizontal="left"/>
      <protection locked="0"/>
    </xf>
    <xf numFmtId="0" fontId="18" fillId="2" borderId="13" xfId="0" applyFont="1" applyFill="1" applyBorder="1" applyAlignment="1" applyProtection="1">
      <alignment horizontal="left"/>
      <protection locked="0"/>
    </xf>
    <xf numFmtId="0" fontId="18" fillId="2" borderId="18" xfId="0" applyFont="1" applyFill="1" applyBorder="1" applyAlignment="1" applyProtection="1">
      <alignment horizontal="left"/>
      <protection locked="0"/>
    </xf>
    <xf numFmtId="0" fontId="19" fillId="0" borderId="25" xfId="0" applyFont="1" applyBorder="1" applyAlignment="1" applyProtection="1">
      <alignment horizontal="center"/>
      <protection locked="0"/>
    </xf>
    <xf numFmtId="9" fontId="18" fillId="3" borderId="29" xfId="2" applyFont="1" applyFill="1" applyBorder="1" applyAlignment="1" applyProtection="1">
      <alignment horizontal="left"/>
    </xf>
    <xf numFmtId="9" fontId="0" fillId="0" borderId="10" xfId="0" applyNumberFormat="1" applyBorder="1"/>
    <xf numFmtId="0" fontId="18" fillId="0" borderId="10" xfId="0" applyFont="1" applyBorder="1" applyAlignment="1" applyProtection="1">
      <alignment horizontal="center" vertical="center" wrapText="1"/>
      <protection locked="0"/>
    </xf>
    <xf numFmtId="0" fontId="19" fillId="0" borderId="10" xfId="0" applyFont="1" applyBorder="1" applyAlignment="1">
      <alignment vertical="center"/>
    </xf>
    <xf numFmtId="0" fontId="19" fillId="0" borderId="10" xfId="0" applyFont="1" applyBorder="1" applyAlignment="1">
      <alignment horizontal="center" vertical="center"/>
    </xf>
    <xf numFmtId="10" fontId="18" fillId="2" borderId="10" xfId="0" applyNumberFormat="1" applyFont="1" applyFill="1" applyBorder="1" applyAlignment="1" applyProtection="1">
      <alignment horizontal="center" vertical="center"/>
      <protection locked="0"/>
    </xf>
    <xf numFmtId="9" fontId="19" fillId="0" borderId="10" xfId="2" applyFont="1" applyBorder="1" applyAlignment="1" applyProtection="1">
      <alignment horizontal="center" vertical="center"/>
    </xf>
    <xf numFmtId="10" fontId="19" fillId="0" borderId="10" xfId="2" applyNumberFormat="1" applyFont="1" applyBorder="1" applyAlignment="1" applyProtection="1">
      <alignment horizontal="center" vertical="center"/>
    </xf>
    <xf numFmtId="2" fontId="19" fillId="2" borderId="10" xfId="0" applyNumberFormat="1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0" fillId="0" borderId="30" xfId="0" applyBorder="1"/>
    <xf numFmtId="0" fontId="3" fillId="0" borderId="0" xfId="0" applyFont="1"/>
    <xf numFmtId="0" fontId="12" fillId="0" borderId="10" xfId="0" applyFont="1" applyBorder="1"/>
    <xf numFmtId="0" fontId="12" fillId="0" borderId="0" xfId="0" applyFont="1"/>
    <xf numFmtId="1" fontId="18" fillId="2" borderId="26" xfId="1" applyNumberFormat="1" applyFont="1" applyFill="1" applyBorder="1" applyAlignment="1" applyProtection="1">
      <alignment horizontal="left"/>
      <protection locked="0"/>
    </xf>
    <xf numFmtId="0" fontId="4" fillId="0" borderId="10" xfId="0" applyFont="1" applyBorder="1" applyAlignment="1">
      <alignment vertical="center"/>
    </xf>
    <xf numFmtId="0" fontId="2" fillId="2" borderId="10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left" vertical="center"/>
    </xf>
    <xf numFmtId="9" fontId="2" fillId="2" borderId="10" xfId="2" applyFont="1" applyFill="1" applyBorder="1" applyAlignment="1" applyProtection="1">
      <alignment horizontal="center" vertical="center" wrapText="1"/>
    </xf>
    <xf numFmtId="10" fontId="5" fillId="2" borderId="10" xfId="2" applyNumberFormat="1" applyFont="1" applyFill="1" applyBorder="1" applyAlignment="1" applyProtection="1">
      <alignment horizontal="center" vertical="center" wrapText="1"/>
    </xf>
    <xf numFmtId="1" fontId="19" fillId="3" borderId="10" xfId="0" applyNumberFormat="1" applyFont="1" applyFill="1" applyBorder="1" applyAlignment="1">
      <alignment horizontal="center" vertical="center"/>
    </xf>
    <xf numFmtId="0" fontId="30" fillId="3" borderId="10" xfId="0" applyFont="1" applyFill="1" applyBorder="1" applyAlignment="1" applyProtection="1">
      <alignment horizontal="center" vertical="center"/>
      <protection hidden="1"/>
    </xf>
    <xf numFmtId="0" fontId="12" fillId="2" borderId="10" xfId="3" applyFont="1" applyFill="1" applyBorder="1" applyAlignment="1" applyProtection="1">
      <alignment horizontal="center" vertical="center"/>
      <protection locked="0" hidden="1"/>
    </xf>
    <xf numFmtId="0" fontId="11" fillId="3" borderId="24" xfId="0" applyFont="1" applyFill="1" applyBorder="1" applyAlignment="1" applyProtection="1">
      <alignment horizontal="left" vertical="center"/>
      <protection hidden="1"/>
    </xf>
    <xf numFmtId="1" fontId="11" fillId="3" borderId="24" xfId="0" applyNumberFormat="1" applyFont="1" applyFill="1" applyBorder="1" applyAlignment="1" applyProtection="1">
      <alignment horizontal="center" vertical="center"/>
      <protection hidden="1"/>
    </xf>
    <xf numFmtId="0" fontId="9" fillId="3" borderId="0" xfId="3" applyFont="1" applyFill="1" applyAlignment="1" applyProtection="1">
      <alignment horizontal="center" vertical="center"/>
      <protection hidden="1"/>
    </xf>
    <xf numFmtId="0" fontId="15" fillId="3" borderId="0" xfId="0" applyFont="1" applyFill="1" applyAlignment="1" applyProtection="1">
      <alignment horizontal="left"/>
      <protection hidden="1"/>
    </xf>
    <xf numFmtId="0" fontId="15" fillId="3" borderId="0" xfId="0" applyFont="1" applyFill="1" applyAlignment="1" applyProtection="1">
      <alignment horizontal="center" vertical="center"/>
      <protection hidden="1"/>
    </xf>
    <xf numFmtId="0" fontId="19" fillId="0" borderId="31" xfId="0" applyFont="1" applyBorder="1" applyAlignment="1" applyProtection="1">
      <alignment horizontal="center"/>
      <protection locked="0"/>
    </xf>
    <xf numFmtId="2" fontId="5" fillId="3" borderId="10" xfId="0" applyNumberFormat="1" applyFont="1" applyFill="1" applyBorder="1" applyAlignment="1" applyProtection="1">
      <alignment horizontal="center" vertical="center"/>
      <protection hidden="1"/>
    </xf>
    <xf numFmtId="2" fontId="14" fillId="3" borderId="0" xfId="0" applyNumberFormat="1" applyFont="1" applyFill="1" applyAlignment="1" applyProtection="1">
      <alignment horizontal="center"/>
      <protection hidden="1"/>
    </xf>
    <xf numFmtId="168" fontId="5" fillId="3" borderId="10" xfId="0" applyNumberFormat="1" applyFont="1" applyFill="1" applyBorder="1" applyAlignment="1" applyProtection="1">
      <alignment horizontal="center" vertical="center"/>
      <protection hidden="1"/>
    </xf>
    <xf numFmtId="166" fontId="18" fillId="0" borderId="27" xfId="1" applyNumberFormat="1" applyFont="1" applyBorder="1" applyAlignment="1" applyProtection="1">
      <alignment horizontal="center" vertical="center"/>
    </xf>
    <xf numFmtId="166" fontId="19" fillId="2" borderId="10" xfId="0" applyNumberFormat="1" applyFont="1" applyFill="1" applyBorder="1" applyAlignment="1">
      <alignment horizontal="center" vertical="center"/>
    </xf>
    <xf numFmtId="9" fontId="0" fillId="0" borderId="0" xfId="0" applyNumberFormat="1"/>
    <xf numFmtId="49" fontId="32" fillId="6" borderId="10" xfId="3" applyNumberFormat="1" applyFont="1" applyFill="1" applyBorder="1" applyAlignment="1" applyProtection="1">
      <alignment horizontal="center" vertical="center"/>
      <protection hidden="1"/>
    </xf>
    <xf numFmtId="0" fontId="32" fillId="6" borderId="10" xfId="3" applyFont="1" applyFill="1" applyBorder="1" applyAlignment="1" applyProtection="1">
      <alignment horizontal="center" vertical="center"/>
      <protection hidden="1"/>
    </xf>
    <xf numFmtId="2" fontId="32" fillId="6" borderId="10" xfId="3" applyNumberFormat="1" applyFont="1" applyFill="1" applyBorder="1" applyAlignment="1" applyProtection="1">
      <alignment horizontal="center" vertical="center"/>
      <protection hidden="1"/>
    </xf>
    <xf numFmtId="0" fontId="32" fillId="6" borderId="10" xfId="3" applyFont="1" applyFill="1" applyBorder="1" applyAlignment="1" applyProtection="1">
      <alignment horizontal="left" vertical="center"/>
      <protection hidden="1"/>
    </xf>
    <xf numFmtId="166" fontId="32" fillId="6" borderId="10" xfId="1" applyNumberFormat="1" applyFont="1" applyFill="1" applyBorder="1" applyAlignment="1" applyProtection="1">
      <alignment horizontal="center" vertical="center"/>
      <protection hidden="1"/>
    </xf>
    <xf numFmtId="10" fontId="32" fillId="6" borderId="10" xfId="3" applyNumberFormat="1" applyFont="1" applyFill="1" applyBorder="1" applyAlignment="1" applyProtection="1">
      <alignment horizontal="center" vertical="center"/>
      <protection hidden="1"/>
    </xf>
    <xf numFmtId="0" fontId="19" fillId="7" borderId="6" xfId="0" applyFont="1" applyFill="1" applyBorder="1" applyAlignment="1" applyProtection="1">
      <alignment vertical="center"/>
      <protection hidden="1"/>
    </xf>
    <xf numFmtId="14" fontId="19" fillId="7" borderId="11" xfId="0" applyNumberFormat="1" applyFont="1" applyFill="1" applyBorder="1" applyAlignment="1" applyProtection="1">
      <alignment vertical="center"/>
      <protection hidden="1"/>
    </xf>
    <xf numFmtId="49" fontId="19" fillId="7" borderId="11" xfId="0" quotePrefix="1" applyNumberFormat="1" applyFont="1" applyFill="1" applyBorder="1" applyAlignment="1" applyProtection="1">
      <alignment horizontal="left" vertical="center"/>
      <protection hidden="1"/>
    </xf>
    <xf numFmtId="14" fontId="19" fillId="7" borderId="17" xfId="0" applyNumberFormat="1" applyFont="1" applyFill="1" applyBorder="1" applyAlignment="1" applyProtection="1">
      <alignment vertical="center"/>
      <protection hidden="1"/>
    </xf>
    <xf numFmtId="0" fontId="18" fillId="7" borderId="10" xfId="0" applyFont="1" applyFill="1" applyBorder="1" applyAlignment="1" applyProtection="1">
      <alignment horizontal="center" vertical="center" wrapText="1"/>
      <protection locked="0"/>
    </xf>
    <xf numFmtId="0" fontId="2" fillId="0" borderId="10" xfId="0" applyFont="1" applyBorder="1" applyAlignment="1">
      <alignment horizontal="center" vertical="center" wrapText="1"/>
    </xf>
    <xf numFmtId="0" fontId="11" fillId="7" borderId="10" xfId="0" applyFont="1" applyFill="1" applyBorder="1" applyAlignment="1">
      <alignment horizontal="left" wrapText="1"/>
    </xf>
    <xf numFmtId="0" fontId="19" fillId="7" borderId="9" xfId="0" applyFont="1" applyFill="1" applyBorder="1" applyAlignment="1" applyProtection="1">
      <alignment horizontal="left" vertical="center"/>
      <protection hidden="1"/>
    </xf>
    <xf numFmtId="0" fontId="19" fillId="7" borderId="10" xfId="0" applyFont="1" applyFill="1" applyBorder="1" applyAlignment="1" applyProtection="1">
      <alignment horizontal="left" vertical="center"/>
      <protection hidden="1"/>
    </xf>
    <xf numFmtId="0" fontId="18" fillId="7" borderId="0" xfId="0" applyFont="1" applyFill="1" applyAlignment="1" applyProtection="1">
      <alignment horizontal="center" vertical="center"/>
      <protection hidden="1"/>
    </xf>
    <xf numFmtId="0" fontId="18" fillId="7" borderId="8" xfId="0" applyFont="1" applyFill="1" applyBorder="1" applyAlignment="1" applyProtection="1">
      <alignment horizontal="center" vertical="center"/>
      <protection hidden="1"/>
    </xf>
    <xf numFmtId="166" fontId="18" fillId="0" borderId="1" xfId="1" applyNumberFormat="1" applyFont="1" applyFill="1" applyBorder="1" applyAlignment="1" applyProtection="1">
      <alignment horizontal="center" vertical="top"/>
      <protection locked="0"/>
    </xf>
    <xf numFmtId="166" fontId="18" fillId="0" borderId="2" xfId="1" applyNumberFormat="1" applyFont="1" applyFill="1" applyBorder="1" applyAlignment="1" applyProtection="1">
      <alignment horizontal="center" vertical="top"/>
      <protection locked="0"/>
    </xf>
    <xf numFmtId="166" fontId="18" fillId="0" borderId="19" xfId="1" applyNumberFormat="1" applyFont="1" applyFill="1" applyBorder="1" applyAlignment="1" applyProtection="1">
      <alignment horizontal="center" vertical="top"/>
      <protection locked="0"/>
    </xf>
    <xf numFmtId="166" fontId="18" fillId="0" borderId="7" xfId="1" applyNumberFormat="1" applyFont="1" applyFill="1" applyBorder="1" applyAlignment="1" applyProtection="1">
      <alignment horizontal="center" vertical="top"/>
      <protection locked="0"/>
    </xf>
    <xf numFmtId="166" fontId="18" fillId="0" borderId="0" xfId="1" applyNumberFormat="1" applyFont="1" applyFill="1" applyBorder="1" applyAlignment="1" applyProtection="1">
      <alignment horizontal="center" vertical="top"/>
      <protection locked="0"/>
    </xf>
    <xf numFmtId="166" fontId="18" fillId="0" borderId="20" xfId="1" applyNumberFormat="1" applyFont="1" applyFill="1" applyBorder="1" applyAlignment="1" applyProtection="1">
      <alignment horizontal="center" vertical="top"/>
      <protection locked="0"/>
    </xf>
    <xf numFmtId="166" fontId="18" fillId="0" borderId="12" xfId="1" applyNumberFormat="1" applyFont="1" applyFill="1" applyBorder="1" applyAlignment="1" applyProtection="1">
      <alignment horizontal="center" vertical="top"/>
      <protection locked="0"/>
    </xf>
    <xf numFmtId="166" fontId="18" fillId="0" borderId="13" xfId="1" applyNumberFormat="1" applyFont="1" applyFill="1" applyBorder="1" applyAlignment="1" applyProtection="1">
      <alignment horizontal="center" vertical="top"/>
      <protection locked="0"/>
    </xf>
    <xf numFmtId="166" fontId="18" fillId="0" borderId="18" xfId="1" applyNumberFormat="1" applyFont="1" applyFill="1" applyBorder="1" applyAlignment="1" applyProtection="1">
      <alignment horizontal="center" vertical="top"/>
      <protection locked="0"/>
    </xf>
    <xf numFmtId="166" fontId="18" fillId="0" borderId="21" xfId="1" applyNumberFormat="1" applyFont="1" applyBorder="1" applyAlignment="1" applyProtection="1">
      <alignment vertical="top"/>
      <protection locked="0"/>
    </xf>
    <xf numFmtId="166" fontId="18" fillId="0" borderId="23" xfId="1" applyNumberFormat="1" applyFont="1" applyBorder="1" applyAlignment="1" applyProtection="1">
      <alignment vertical="top"/>
      <protection locked="0"/>
    </xf>
    <xf numFmtId="166" fontId="18" fillId="0" borderId="22" xfId="1" applyNumberFormat="1" applyFont="1" applyBorder="1" applyAlignment="1" applyProtection="1">
      <alignment vertical="top"/>
      <protection locked="0"/>
    </xf>
    <xf numFmtId="166" fontId="18" fillId="0" borderId="21" xfId="1" applyNumberFormat="1" applyFont="1" applyFill="1" applyBorder="1" applyAlignment="1" applyProtection="1">
      <alignment vertical="top"/>
      <protection locked="0"/>
    </xf>
    <xf numFmtId="166" fontId="18" fillId="0" borderId="23" xfId="1" applyNumberFormat="1" applyFont="1" applyFill="1" applyBorder="1" applyAlignment="1" applyProtection="1">
      <alignment vertical="top"/>
      <protection locked="0"/>
    </xf>
    <xf numFmtId="166" fontId="18" fillId="0" borderId="22" xfId="1" applyNumberFormat="1" applyFont="1" applyFill="1" applyBorder="1" applyAlignment="1" applyProtection="1">
      <alignment vertical="top"/>
      <protection locked="0"/>
    </xf>
    <xf numFmtId="0" fontId="18" fillId="7" borderId="13" xfId="0" applyFont="1" applyFill="1" applyBorder="1" applyAlignment="1" applyProtection="1">
      <alignment horizontal="center" vertical="center"/>
      <protection hidden="1"/>
    </xf>
    <xf numFmtId="0" fontId="18" fillId="7" borderId="14" xfId="0" applyFont="1" applyFill="1" applyBorder="1" applyAlignment="1" applyProtection="1">
      <alignment horizontal="center" vertical="center"/>
      <protection hidden="1"/>
    </xf>
    <xf numFmtId="0" fontId="19" fillId="7" borderId="15" xfId="0" applyFont="1" applyFill="1" applyBorder="1" applyAlignment="1" applyProtection="1">
      <alignment horizontal="left" vertical="center"/>
      <protection hidden="1"/>
    </xf>
    <xf numFmtId="0" fontId="19" fillId="7" borderId="16" xfId="0" applyFont="1" applyFill="1" applyBorder="1" applyAlignment="1" applyProtection="1">
      <alignment horizontal="left" vertical="center"/>
      <protection hidden="1"/>
    </xf>
    <xf numFmtId="0" fontId="20" fillId="3" borderId="7" xfId="0" applyFont="1" applyFill="1" applyBorder="1" applyAlignment="1" applyProtection="1">
      <alignment horizontal="center" vertical="center"/>
      <protection hidden="1"/>
    </xf>
    <xf numFmtId="0" fontId="20" fillId="3" borderId="0" xfId="0" applyFont="1" applyFill="1" applyAlignment="1" applyProtection="1">
      <alignment horizontal="center" vertical="center"/>
      <protection hidden="1"/>
    </xf>
    <xf numFmtId="0" fontId="20" fillId="3" borderId="20" xfId="0" applyFont="1" applyFill="1" applyBorder="1" applyAlignment="1" applyProtection="1">
      <alignment horizontal="center" vertical="center"/>
      <protection hidden="1"/>
    </xf>
    <xf numFmtId="0" fontId="18" fillId="7" borderId="2" xfId="0" applyFont="1" applyFill="1" applyBorder="1" applyAlignment="1" applyProtection="1">
      <alignment horizontal="left"/>
      <protection hidden="1"/>
    </xf>
    <xf numFmtId="0" fontId="18" fillId="7" borderId="0" xfId="0" applyFont="1" applyFill="1" applyAlignment="1" applyProtection="1">
      <alignment horizontal="left"/>
      <protection hidden="1"/>
    </xf>
    <xf numFmtId="0" fontId="18" fillId="7" borderId="0" xfId="0" applyFont="1" applyFill="1" applyAlignment="1" applyProtection="1">
      <alignment horizontal="left" wrapText="1"/>
      <protection hidden="1"/>
    </xf>
    <xf numFmtId="0" fontId="18" fillId="7" borderId="7" xfId="0" applyFont="1" applyFill="1" applyBorder="1" applyAlignment="1">
      <alignment horizontal="left"/>
    </xf>
    <xf numFmtId="0" fontId="18" fillId="7" borderId="0" xfId="0" applyFont="1" applyFill="1" applyAlignment="1">
      <alignment horizontal="left"/>
    </xf>
    <xf numFmtId="0" fontId="18" fillId="7" borderId="20" xfId="0" applyFont="1" applyFill="1" applyBorder="1" applyAlignment="1">
      <alignment horizontal="left"/>
    </xf>
    <xf numFmtId="0" fontId="18" fillId="2" borderId="21" xfId="0" applyFont="1" applyFill="1" applyBorder="1" applyAlignment="1" applyProtection="1">
      <alignment horizontal="center"/>
      <protection locked="0"/>
    </xf>
    <xf numFmtId="0" fontId="18" fillId="2" borderId="22" xfId="0" applyFont="1" applyFill="1" applyBorder="1" applyAlignment="1" applyProtection="1">
      <alignment horizontal="center"/>
      <protection locked="0"/>
    </xf>
    <xf numFmtId="166" fontId="19" fillId="2" borderId="21" xfId="1" applyNumberFormat="1" applyFont="1" applyFill="1" applyBorder="1" applyAlignment="1" applyProtection="1">
      <alignment horizontal="center"/>
      <protection locked="0"/>
    </xf>
    <xf numFmtId="166" fontId="19" fillId="2" borderId="22" xfId="1" applyNumberFormat="1" applyFont="1" applyFill="1" applyBorder="1" applyAlignment="1" applyProtection="1">
      <alignment horizontal="center"/>
      <protection locked="0"/>
    </xf>
    <xf numFmtId="0" fontId="18" fillId="0" borderId="5" xfId="0" applyFont="1" applyBorder="1" applyAlignment="1" applyProtection="1">
      <alignment horizontal="center" vertical="center" wrapText="1"/>
      <protection locked="0"/>
    </xf>
    <xf numFmtId="0" fontId="18" fillId="0" borderId="10" xfId="0" applyFont="1" applyBorder="1" applyAlignment="1" applyProtection="1">
      <alignment horizontal="center" vertical="center" wrapText="1"/>
      <protection locked="0"/>
    </xf>
    <xf numFmtId="0" fontId="18" fillId="3" borderId="1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18" fillId="3" borderId="12" xfId="0" applyFont="1" applyFill="1" applyBorder="1" applyAlignment="1">
      <alignment horizontal="center" vertical="center"/>
    </xf>
    <xf numFmtId="0" fontId="18" fillId="3" borderId="13" xfId="0" applyFont="1" applyFill="1" applyBorder="1" applyAlignment="1">
      <alignment horizontal="center" vertical="center"/>
    </xf>
    <xf numFmtId="0" fontId="22" fillId="7" borderId="2" xfId="0" applyFont="1" applyFill="1" applyBorder="1" applyAlignment="1" applyProtection="1">
      <alignment horizontal="center" vertical="center"/>
      <protection hidden="1"/>
    </xf>
    <xf numFmtId="0" fontId="22" fillId="7" borderId="3" xfId="0" applyFont="1" applyFill="1" applyBorder="1" applyAlignment="1" applyProtection="1">
      <alignment horizontal="center" vertical="center"/>
      <protection hidden="1"/>
    </xf>
    <xf numFmtId="0" fontId="22" fillId="7" borderId="0" xfId="0" applyFont="1" applyFill="1" applyAlignment="1" applyProtection="1">
      <alignment horizontal="center" vertical="center"/>
      <protection hidden="1"/>
    </xf>
    <xf numFmtId="0" fontId="22" fillId="7" borderId="8" xfId="0" applyFont="1" applyFill="1" applyBorder="1" applyAlignment="1" applyProtection="1">
      <alignment horizontal="center" vertical="center"/>
      <protection hidden="1"/>
    </xf>
    <xf numFmtId="0" fontId="19" fillId="7" borderId="4" xfId="0" applyFont="1" applyFill="1" applyBorder="1" applyAlignment="1" applyProtection="1">
      <alignment horizontal="left" vertical="center"/>
      <protection hidden="1"/>
    </xf>
    <xf numFmtId="0" fontId="19" fillId="7" borderId="5" xfId="0" applyFont="1" applyFill="1" applyBorder="1" applyAlignment="1" applyProtection="1">
      <alignment horizontal="left" vertical="center"/>
      <protection hidden="1"/>
    </xf>
    <xf numFmtId="0" fontId="18" fillId="7" borderId="13" xfId="0" applyFont="1" applyFill="1" applyBorder="1" applyAlignment="1" applyProtection="1">
      <alignment horizontal="left"/>
      <protection hidden="1"/>
    </xf>
    <xf numFmtId="0" fontId="18" fillId="3" borderId="21" xfId="0" applyFont="1" applyFill="1" applyBorder="1" applyAlignment="1" applyProtection="1">
      <alignment horizontal="center"/>
      <protection hidden="1"/>
    </xf>
    <xf numFmtId="0" fontId="18" fillId="3" borderId="23" xfId="0" applyFont="1" applyFill="1" applyBorder="1" applyAlignment="1" applyProtection="1">
      <alignment horizontal="center"/>
      <protection hidden="1"/>
    </xf>
    <xf numFmtId="0" fontId="18" fillId="3" borderId="2" xfId="0" applyFont="1" applyFill="1" applyBorder="1" applyAlignment="1" applyProtection="1">
      <alignment horizontal="center"/>
      <protection hidden="1"/>
    </xf>
    <xf numFmtId="0" fontId="18" fillId="3" borderId="19" xfId="0" applyFont="1" applyFill="1" applyBorder="1" applyAlignment="1" applyProtection="1">
      <alignment horizontal="center"/>
      <protection hidden="1"/>
    </xf>
    <xf numFmtId="0" fontId="18" fillId="3" borderId="22" xfId="0" applyFont="1" applyFill="1" applyBorder="1" applyAlignment="1" applyProtection="1">
      <alignment horizontal="center"/>
      <protection hidden="1"/>
    </xf>
    <xf numFmtId="167" fontId="19" fillId="2" borderId="21" xfId="1" applyNumberFormat="1" applyFont="1" applyFill="1" applyBorder="1" applyAlignment="1" applyProtection="1">
      <alignment horizontal="center"/>
    </xf>
    <xf numFmtId="167" fontId="19" fillId="2" borderId="22" xfId="1" applyNumberFormat="1" applyFont="1" applyFill="1" applyBorder="1" applyAlignment="1" applyProtection="1">
      <alignment horizontal="center"/>
    </xf>
    <xf numFmtId="0" fontId="18" fillId="7" borderId="21" xfId="0" applyFont="1" applyFill="1" applyBorder="1" applyAlignment="1" applyProtection="1">
      <alignment horizontal="left" vertical="center" wrapText="1"/>
      <protection locked="0"/>
    </xf>
    <xf numFmtId="0" fontId="18" fillId="7" borderId="23" xfId="0" applyFont="1" applyFill="1" applyBorder="1" applyAlignment="1" applyProtection="1">
      <alignment horizontal="left" vertical="center" wrapText="1"/>
      <protection locked="0"/>
    </xf>
    <xf numFmtId="0" fontId="18" fillId="7" borderId="22" xfId="0" applyFont="1" applyFill="1" applyBorder="1" applyAlignment="1" applyProtection="1">
      <alignment horizontal="left" vertical="center" wrapText="1"/>
      <protection locked="0"/>
    </xf>
    <xf numFmtId="0" fontId="18" fillId="7" borderId="7" xfId="0" applyFont="1" applyFill="1" applyBorder="1" applyAlignment="1" applyProtection="1">
      <alignment horizontal="left" vertical="center" wrapText="1"/>
      <protection locked="0"/>
    </xf>
    <xf numFmtId="0" fontId="18" fillId="7" borderId="0" xfId="0" applyFont="1" applyFill="1" applyAlignment="1" applyProtection="1">
      <alignment horizontal="left" vertical="center" wrapText="1"/>
      <protection locked="0"/>
    </xf>
    <xf numFmtId="0" fontId="18" fillId="7" borderId="20" xfId="0" applyFont="1" applyFill="1" applyBorder="1" applyAlignment="1" applyProtection="1">
      <alignment horizontal="left" vertical="center" wrapText="1"/>
      <protection locked="0"/>
    </xf>
    <xf numFmtId="0" fontId="18" fillId="0" borderId="6" xfId="0" applyFont="1" applyBorder="1" applyAlignment="1" applyProtection="1">
      <alignment horizontal="center" vertical="center" wrapText="1"/>
      <protection locked="0"/>
    </xf>
    <xf numFmtId="0" fontId="18" fillId="0" borderId="11" xfId="0" applyFont="1" applyBorder="1" applyAlignment="1" applyProtection="1">
      <alignment horizontal="center" vertical="center" wrapText="1"/>
      <protection locked="0"/>
    </xf>
    <xf numFmtId="0" fontId="18" fillId="3" borderId="12" xfId="0" applyFont="1" applyFill="1" applyBorder="1" applyAlignment="1" applyProtection="1">
      <alignment vertical="center" wrapText="1"/>
      <protection locked="0"/>
    </xf>
    <xf numFmtId="0" fontId="18" fillId="3" borderId="13" xfId="0" applyFont="1" applyFill="1" applyBorder="1" applyAlignment="1" applyProtection="1">
      <alignment vertical="center" wrapText="1"/>
      <protection locked="0"/>
    </xf>
    <xf numFmtId="0" fontId="18" fillId="3" borderId="18" xfId="0" applyFont="1" applyFill="1" applyBorder="1" applyAlignment="1" applyProtection="1">
      <alignment vertical="center" wrapText="1"/>
      <protection locked="0"/>
    </xf>
    <xf numFmtId="0" fontId="18" fillId="7" borderId="12" xfId="0" applyFont="1" applyFill="1" applyBorder="1" applyAlignment="1" applyProtection="1">
      <alignment vertical="center" wrapText="1"/>
      <protection locked="0"/>
    </xf>
    <xf numFmtId="0" fontId="18" fillId="7" borderId="13" xfId="0" applyFont="1" applyFill="1" applyBorder="1" applyAlignment="1" applyProtection="1">
      <alignment vertical="center" wrapText="1"/>
      <protection locked="0"/>
    </xf>
    <xf numFmtId="0" fontId="18" fillId="7" borderId="18" xfId="0" applyFont="1" applyFill="1" applyBorder="1" applyAlignment="1" applyProtection="1">
      <alignment vertical="center" wrapText="1"/>
      <protection locked="0"/>
    </xf>
    <xf numFmtId="0" fontId="18" fillId="3" borderId="12" xfId="0" applyFont="1" applyFill="1" applyBorder="1" applyAlignment="1" applyProtection="1">
      <alignment horizontal="left"/>
      <protection locked="0"/>
    </xf>
    <xf numFmtId="0" fontId="18" fillId="3" borderId="13" xfId="0" applyFont="1" applyFill="1" applyBorder="1" applyAlignment="1" applyProtection="1">
      <alignment horizontal="left"/>
      <protection locked="0"/>
    </xf>
    <xf numFmtId="0" fontId="18" fillId="3" borderId="18" xfId="0" applyFont="1" applyFill="1" applyBorder="1" applyAlignment="1" applyProtection="1">
      <alignment horizontal="left"/>
      <protection locked="0"/>
    </xf>
    <xf numFmtId="0" fontId="18" fillId="3" borderId="1" xfId="0" applyFont="1" applyFill="1" applyBorder="1" applyAlignment="1" applyProtection="1">
      <alignment vertical="center" wrapText="1"/>
      <protection locked="0"/>
    </xf>
    <xf numFmtId="0" fontId="18" fillId="3" borderId="2" xfId="0" applyFont="1" applyFill="1" applyBorder="1" applyAlignment="1" applyProtection="1">
      <alignment vertical="center" wrapText="1"/>
      <protection locked="0"/>
    </xf>
    <xf numFmtId="0" fontId="18" fillId="3" borderId="19" xfId="0" applyFont="1" applyFill="1" applyBorder="1" applyAlignment="1" applyProtection="1">
      <alignment vertical="center" wrapText="1"/>
      <protection locked="0"/>
    </xf>
    <xf numFmtId="0" fontId="18" fillId="7" borderId="1" xfId="0" applyFont="1" applyFill="1" applyBorder="1" applyAlignment="1" applyProtection="1">
      <alignment vertical="center" wrapText="1"/>
      <protection locked="0"/>
    </xf>
    <xf numFmtId="0" fontId="18" fillId="7" borderId="2" xfId="0" applyFont="1" applyFill="1" applyBorder="1" applyAlignment="1" applyProtection="1">
      <alignment vertical="center" wrapText="1"/>
      <protection locked="0"/>
    </xf>
    <xf numFmtId="0" fontId="18" fillId="7" borderId="19" xfId="0" applyFont="1" applyFill="1" applyBorder="1" applyAlignment="1" applyProtection="1">
      <alignment vertical="center" wrapText="1"/>
      <protection locked="0"/>
    </xf>
    <xf numFmtId="0" fontId="18" fillId="3" borderId="1" xfId="0" applyFont="1" applyFill="1" applyBorder="1" applyAlignment="1" applyProtection="1">
      <alignment horizontal="left"/>
      <protection locked="0"/>
    </xf>
    <xf numFmtId="0" fontId="18" fillId="3" borderId="2" xfId="0" applyFont="1" applyFill="1" applyBorder="1" applyAlignment="1" applyProtection="1">
      <alignment horizontal="left"/>
      <protection locked="0"/>
    </xf>
    <xf numFmtId="0" fontId="18" fillId="3" borderId="19" xfId="0" applyFont="1" applyFill="1" applyBorder="1" applyAlignment="1" applyProtection="1">
      <alignment horizontal="left"/>
      <protection locked="0"/>
    </xf>
    <xf numFmtId="0" fontId="18" fillId="7" borderId="10" xfId="0" applyFont="1" applyFill="1" applyBorder="1" applyAlignment="1" applyProtection="1">
      <alignment horizontal="left" vertical="center"/>
      <protection locked="0"/>
    </xf>
    <xf numFmtId="0" fontId="10" fillId="2" borderId="10" xfId="0" applyFont="1" applyFill="1" applyBorder="1" applyAlignment="1" applyProtection="1">
      <alignment horizontal="center" vertical="center" wrapText="1"/>
      <protection locked="0"/>
    </xf>
    <xf numFmtId="0" fontId="18" fillId="0" borderId="28" xfId="0" applyFont="1" applyBorder="1" applyAlignment="1" applyProtection="1">
      <alignment horizontal="center" vertical="center" wrapText="1"/>
      <protection locked="0"/>
    </xf>
    <xf numFmtId="0" fontId="18" fillId="0" borderId="25" xfId="0" applyFont="1" applyBorder="1" applyAlignment="1" applyProtection="1">
      <alignment horizontal="center" vertical="center" wrapText="1"/>
      <protection locked="0"/>
    </xf>
    <xf numFmtId="0" fontId="19" fillId="0" borderId="10" xfId="0" applyFont="1" applyBorder="1" applyAlignment="1" applyProtection="1">
      <alignment horizontal="center" vertical="center" wrapText="1"/>
      <protection locked="0"/>
    </xf>
    <xf numFmtId="0" fontId="18" fillId="0" borderId="5" xfId="0" applyFont="1" applyBorder="1" applyAlignment="1" applyProtection="1">
      <alignment horizontal="center" vertical="center"/>
      <protection locked="0"/>
    </xf>
    <xf numFmtId="0" fontId="19" fillId="0" borderId="10" xfId="0" applyFont="1" applyBorder="1" applyAlignment="1" applyProtection="1">
      <alignment horizontal="center" vertical="center"/>
      <protection locked="0"/>
    </xf>
    <xf numFmtId="0" fontId="18" fillId="7" borderId="1" xfId="0" applyFont="1" applyFill="1" applyBorder="1" applyAlignment="1" applyProtection="1">
      <alignment horizontal="left"/>
      <protection locked="0"/>
    </xf>
    <xf numFmtId="0" fontId="18" fillId="7" borderId="2" xfId="0" applyFont="1" applyFill="1" applyBorder="1" applyAlignment="1" applyProtection="1">
      <alignment horizontal="left"/>
      <protection locked="0"/>
    </xf>
    <xf numFmtId="0" fontId="18" fillId="7" borderId="7" xfId="0" applyFont="1" applyFill="1" applyBorder="1" applyAlignment="1" applyProtection="1">
      <alignment horizontal="left"/>
      <protection locked="0"/>
    </xf>
    <xf numFmtId="0" fontId="18" fillId="7" borderId="0" xfId="0" applyFont="1" applyFill="1" applyAlignment="1" applyProtection="1">
      <alignment horizontal="left"/>
      <protection locked="0"/>
    </xf>
    <xf numFmtId="0" fontId="18" fillId="7" borderId="12" xfId="0" applyFont="1" applyFill="1" applyBorder="1" applyAlignment="1" applyProtection="1">
      <alignment horizontal="left"/>
      <protection locked="0"/>
    </xf>
    <xf numFmtId="0" fontId="18" fillId="7" borderId="13" xfId="0" applyFont="1" applyFill="1" applyBorder="1" applyAlignment="1" applyProtection="1">
      <alignment horizontal="left"/>
      <protection locked="0"/>
    </xf>
    <xf numFmtId="0" fontId="18" fillId="2" borderId="0" xfId="0" applyFont="1" applyFill="1" applyAlignment="1" applyProtection="1">
      <alignment horizontal="center"/>
      <protection locked="0"/>
    </xf>
    <xf numFmtId="0" fontId="18" fillId="2" borderId="2" xfId="0" applyFont="1" applyFill="1" applyBorder="1" applyAlignment="1" applyProtection="1">
      <alignment horizontal="center"/>
      <protection locked="0"/>
    </xf>
    <xf numFmtId="0" fontId="18" fillId="2" borderId="19" xfId="0" applyFont="1" applyFill="1" applyBorder="1" applyAlignment="1" applyProtection="1">
      <alignment horizontal="center"/>
      <protection locked="0"/>
    </xf>
    <xf numFmtId="0" fontId="18" fillId="2" borderId="20" xfId="0" applyFont="1" applyFill="1" applyBorder="1" applyAlignment="1" applyProtection="1">
      <alignment horizontal="center"/>
      <protection locked="0"/>
    </xf>
    <xf numFmtId="0" fontId="18" fillId="2" borderId="13" xfId="0" applyFont="1" applyFill="1" applyBorder="1" applyAlignment="1" applyProtection="1">
      <alignment horizontal="center"/>
      <protection locked="0"/>
    </xf>
    <xf numFmtId="0" fontId="18" fillId="2" borderId="18" xfId="0" applyFont="1" applyFill="1" applyBorder="1" applyAlignment="1" applyProtection="1">
      <alignment horizontal="center"/>
      <protection locked="0"/>
    </xf>
  </cellXfs>
  <cellStyles count="33">
    <cellStyle name="Comma" xfId="1" builtinId="3"/>
    <cellStyle name="Comma 2" xfId="12" xr:uid="{00000000-0005-0000-0000-000001000000}"/>
    <cellStyle name="Comma 2 2" xfId="26" xr:uid="{E45EC627-2406-4A0E-ACC1-C5D9DC766800}"/>
    <cellStyle name="Comma 3" xfId="18" xr:uid="{745EE519-F0A1-4C5B-BBB4-9052AF162790}"/>
    <cellStyle name="Comma 3 2" xfId="29" xr:uid="{47109812-BB15-46A9-8FB1-F5D1E9217770}"/>
    <cellStyle name="Comma 4" xfId="25" xr:uid="{01DFC29E-E98E-4AA5-800B-F088F11F36BA}"/>
    <cellStyle name="Hyperlink 2" xfId="17" xr:uid="{3761B748-D41C-485C-B880-29CDA7131D09}"/>
    <cellStyle name="Normal" xfId="0" builtinId="0"/>
    <cellStyle name="Normal 11" xfId="3" xr:uid="{00000000-0005-0000-0000-000004000000}"/>
    <cellStyle name="Normal 11 2" xfId="19" xr:uid="{D7641C82-5CCE-439C-BDD7-4E08342E846E}"/>
    <cellStyle name="Normal 11 2 2" xfId="30" xr:uid="{EFBC9C4B-6384-454D-838B-89268E884E9B}"/>
    <cellStyle name="Normal 2" xfId="6" xr:uid="{00000000-0005-0000-0000-000005000000}"/>
    <cellStyle name="Normal 2 2" xfId="10" xr:uid="{00000000-0005-0000-0000-000006000000}"/>
    <cellStyle name="Normal 2 2 2" xfId="21" xr:uid="{823966CE-77B5-4356-88C0-04B7D25FEDCF}"/>
    <cellStyle name="Normal 2 3" xfId="7" xr:uid="{00000000-0005-0000-0000-000007000000}"/>
    <cellStyle name="Normal 2 3 2" xfId="22" xr:uid="{B34AAB90-7ECC-43FE-B994-A2E3554CA39D}"/>
    <cellStyle name="Normal 2 3 2 2" xfId="31" xr:uid="{0FB7A9D1-A693-476A-B899-2560FB090A9C}"/>
    <cellStyle name="Normal 2 4" xfId="13" xr:uid="{00000000-0005-0000-0000-000008000000}"/>
    <cellStyle name="Normal 3" xfId="9" xr:uid="{00000000-0005-0000-0000-000009000000}"/>
    <cellStyle name="Normal 3 2" xfId="5" xr:uid="{00000000-0005-0000-0000-00000A000000}"/>
    <cellStyle name="Normal 3 2 2" xfId="11" xr:uid="{00000000-0005-0000-0000-00000B000000}"/>
    <cellStyle name="Normal 3 2 2 2" xfId="23" xr:uid="{4B1ABA4A-FE98-4D5A-B3E3-29F72A43DBC4}"/>
    <cellStyle name="Normal 3 3" xfId="24" xr:uid="{96DD7F56-06FA-429B-A800-017DDA8CDEDF}"/>
    <cellStyle name="Normal 3 3 2" xfId="32" xr:uid="{C61A9003-8198-49C1-B263-DB87043FDB46}"/>
    <cellStyle name="Normal 4" xfId="14" xr:uid="{B8C13738-3D6D-4F9F-A007-409A3E076533}"/>
    <cellStyle name="Normal 5" xfId="15" xr:uid="{77C333B3-92F8-4CEA-BEF9-BA39A4EF880B}"/>
    <cellStyle name="Normal 5 2" xfId="27" xr:uid="{6B10C6F2-4AB5-4164-BABD-1CCBEFD224BC}"/>
    <cellStyle name="Normal 66" xfId="4" xr:uid="{00000000-0005-0000-0000-00000C000000}"/>
    <cellStyle name="Normal 66 2" xfId="20" xr:uid="{14061010-ADC4-49CD-815C-285CAE2A68CD}"/>
    <cellStyle name="Percent" xfId="2" builtinId="5"/>
    <cellStyle name="Percent 2" xfId="8" xr:uid="{00000000-0005-0000-0000-00000E000000}"/>
    <cellStyle name="Percent 3" xfId="16" xr:uid="{A1DCD637-DC86-4E56-9405-00E8870533C7}"/>
    <cellStyle name="Percent 3 2" xfId="28" xr:uid="{FC60067D-4F15-4191-B390-847152203097}"/>
  </cellStyles>
  <dxfs count="133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120760</xdr:colOff>
      <xdr:row>2</xdr:row>
      <xdr:rowOff>152425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732E5A-0983-4992-2435-39C0C50F08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133710" cy="4826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4407983</xdr:colOff>
      <xdr:row>3</xdr:row>
      <xdr:rowOff>211667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5CF451-8443-4533-B02A-6A366BD17C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59913" cy="104719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C20"/>
  <sheetViews>
    <sheetView showGridLines="0" workbookViewId="0">
      <selection activeCell="A19" sqref="A19"/>
    </sheetView>
  </sheetViews>
  <sheetFormatPr defaultColWidth="8.81640625" defaultRowHeight="13" x14ac:dyDescent="0.3"/>
  <cols>
    <col min="1" max="1" width="28.81640625" style="84" bestFit="1" customWidth="1"/>
    <col min="2" max="2" width="57.1796875" style="84" customWidth="1"/>
    <col min="3" max="3" width="20.7265625" style="86" bestFit="1" customWidth="1"/>
    <col min="4" max="16384" width="8.81640625" style="84"/>
  </cols>
  <sheetData>
    <row r="4" spans="1:3" x14ac:dyDescent="0.3">
      <c r="A4" s="119" t="s">
        <v>533</v>
      </c>
      <c r="B4" s="119"/>
      <c r="C4" s="85" t="s">
        <v>2637</v>
      </c>
    </row>
    <row r="5" spans="1:3" x14ac:dyDescent="0.3">
      <c r="A5" s="88" t="s">
        <v>532</v>
      </c>
      <c r="B5" s="89">
        <f>IFERROR(('Sales Order'!J8),"")</f>
        <v>0</v>
      </c>
      <c r="C5" s="85" t="str">
        <f>IF(B5=0,"Error Pls Fill in the Details","Ok")</f>
        <v>Error Pls Fill in the Details</v>
      </c>
    </row>
    <row r="6" spans="1:3" x14ac:dyDescent="0.3">
      <c r="A6" s="88" t="s">
        <v>12</v>
      </c>
      <c r="B6" s="89">
        <f>IFERROR(('Sales Order'!F6),"")</f>
        <v>0</v>
      </c>
      <c r="C6" s="85" t="str">
        <f t="shared" ref="C6:C18" si="0">IF(B6=0,"Error Pls Fill in the Details","Ok")</f>
        <v>Error Pls Fill in the Details</v>
      </c>
    </row>
    <row r="7" spans="1:3" x14ac:dyDescent="0.3">
      <c r="A7" s="88" t="s">
        <v>35</v>
      </c>
      <c r="B7" s="89">
        <f>IFERROR(('Sales Order'!K21),"")</f>
        <v>0</v>
      </c>
      <c r="C7" s="85" t="str">
        <f t="shared" si="0"/>
        <v>Error Pls Fill in the Details</v>
      </c>
    </row>
    <row r="8" spans="1:3" x14ac:dyDescent="0.3">
      <c r="A8" s="88" t="s">
        <v>15</v>
      </c>
      <c r="B8" s="89" t="str">
        <f>IFERROR(('Sales Order'!C7),"")</f>
        <v>Housing-Residential Project - HR</v>
      </c>
      <c r="C8" s="85" t="str">
        <f t="shared" si="0"/>
        <v>Ok</v>
      </c>
    </row>
    <row r="9" spans="1:3" x14ac:dyDescent="0.3">
      <c r="A9" s="88" t="s">
        <v>54</v>
      </c>
      <c r="B9" s="89">
        <f>IFERROR(('Sales Order'!C11),"")</f>
        <v>0</v>
      </c>
      <c r="C9" s="85" t="str">
        <f t="shared" si="0"/>
        <v>Error Pls Fill in the Details</v>
      </c>
    </row>
    <row r="10" spans="1:3" x14ac:dyDescent="0.3">
      <c r="A10" s="88" t="s">
        <v>534</v>
      </c>
      <c r="B10" s="89">
        <f>IFERROR(('Sales Order'!C14),"")</f>
        <v>0</v>
      </c>
      <c r="C10" s="85" t="str">
        <f t="shared" si="0"/>
        <v>Error Pls Fill in the Details</v>
      </c>
    </row>
    <row r="11" spans="1:3" x14ac:dyDescent="0.3">
      <c r="A11" s="88" t="s">
        <v>20</v>
      </c>
      <c r="B11" s="89">
        <f>IFERROR(('Sales Order'!C9),"")</f>
        <v>0</v>
      </c>
      <c r="C11" s="85" t="str">
        <f t="shared" si="0"/>
        <v>Error Pls Fill in the Details</v>
      </c>
    </row>
    <row r="12" spans="1:3" x14ac:dyDescent="0.3">
      <c r="A12" s="88" t="s">
        <v>55</v>
      </c>
      <c r="B12" s="89">
        <f>IFERROR(('Sales Order'!N100),"")</f>
        <v>0</v>
      </c>
      <c r="C12" s="85" t="str">
        <f t="shared" si="0"/>
        <v>Error Pls Fill in the Details</v>
      </c>
    </row>
    <row r="13" spans="1:3" x14ac:dyDescent="0.3">
      <c r="A13" s="90" t="s">
        <v>52</v>
      </c>
      <c r="B13" s="91">
        <f>IFERROR(('Sales Order'!C17),"")</f>
        <v>0.03</v>
      </c>
      <c r="C13" s="85" t="str">
        <f>IF(B13=0,"Error Pls Fill in the Details","Ok")</f>
        <v>Ok</v>
      </c>
    </row>
    <row r="14" spans="1:3" x14ac:dyDescent="0.3">
      <c r="A14" s="88" t="s">
        <v>56</v>
      </c>
      <c r="B14" s="92">
        <f>IFERROR((AVERAGE('Sales Order'!L25:L99)),"")</f>
        <v>0.53439999999999999</v>
      </c>
      <c r="C14" s="85" t="str">
        <f t="shared" si="0"/>
        <v>Ok</v>
      </c>
    </row>
    <row r="15" spans="1:3" x14ac:dyDescent="0.3">
      <c r="A15" s="88" t="s">
        <v>2638</v>
      </c>
      <c r="B15" s="89" t="str">
        <f>IFERROR(('Sales Order'!C18),"")</f>
        <v xml:space="preserve">FOR </v>
      </c>
      <c r="C15" s="85" t="str">
        <f t="shared" si="0"/>
        <v>Ok</v>
      </c>
    </row>
    <row r="16" spans="1:3" x14ac:dyDescent="0.3">
      <c r="A16" s="88" t="s">
        <v>2550</v>
      </c>
      <c r="B16" s="89" t="str">
        <f>IFERROR(('Sales Order'!C19),"")</f>
        <v xml:space="preserve">Advance </v>
      </c>
      <c r="C16" s="85" t="str">
        <f t="shared" si="0"/>
        <v>Ok</v>
      </c>
    </row>
    <row r="17" spans="1:3" x14ac:dyDescent="0.3">
      <c r="A17" s="88" t="s">
        <v>2636</v>
      </c>
      <c r="B17" s="89">
        <f>'Sales Order'!F7</f>
        <v>0</v>
      </c>
      <c r="C17" s="85" t="str">
        <f t="shared" si="0"/>
        <v>Error Pls Fill in the Details</v>
      </c>
    </row>
    <row r="18" spans="1:3" x14ac:dyDescent="0.3">
      <c r="A18" s="88" t="s">
        <v>549</v>
      </c>
      <c r="B18" s="89" t="str">
        <f>'Sales Order'!J7</f>
        <v xml:space="preserve">7 Days </v>
      </c>
      <c r="C18" s="85" t="str">
        <f t="shared" si="0"/>
        <v>Ok</v>
      </c>
    </row>
    <row r="20" spans="1:3" ht="39.5" customHeight="1" x14ac:dyDescent="0.3">
      <c r="A20" s="120" t="s">
        <v>2975</v>
      </c>
      <c r="B20" s="120"/>
      <c r="C20" s="120"/>
    </row>
  </sheetData>
  <sheetProtection algorithmName="SHA-512" hashValue="3SXEup5xYEFR/SA5S74ROOt8cgXse1n0xuzjNFjah1QIpaOFHS/nxm/2yvvOFCp/X4Yzdp/rUl3uvVNR6ABlUA==" saltValue="Td+xgKtal5lzGpcG0vulVw==" spinCount="100000" sheet="1" objects="1" scenarios="1"/>
  <mergeCells count="2">
    <mergeCell ref="A4:B4"/>
    <mergeCell ref="A20:C20"/>
  </mergeCells>
  <conditionalFormatting sqref="C1:C19 C21:C1048576">
    <cfRule type="containsText" dxfId="132" priority="3" operator="containsText" text="Error Pls Fill in the Details">
      <formula>NOT(ISERROR(SEARCH("Error Pls Fill in the Details",C1)))</formula>
    </cfRule>
  </conditionalFormatting>
  <conditionalFormatting sqref="C5:C18">
    <cfRule type="containsText" dxfId="131" priority="4" operator="containsText" text="Ok">
      <formula>NOT(ISERROR(SEARCH("Ok",C5)))</formula>
    </cfRule>
  </conditionalFormatting>
  <conditionalFormatting sqref="C17">
    <cfRule type="containsText" dxfId="130" priority="1" operator="containsText" text="TRUE">
      <formula>NOT(ISERROR(SEARCH("TRUE",C17)))</formula>
    </cfRule>
    <cfRule type="containsText" dxfId="129" priority="2" operator="containsText" text="FALSE">
      <formula>NOT(ISERROR(SEARCH("FALSE",C17)))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2"/>
  <sheetViews>
    <sheetView showGridLines="0" topLeftCell="C4" zoomScale="57" zoomScaleNormal="57" workbookViewId="0">
      <selection activeCell="F7" sqref="F7:G7"/>
    </sheetView>
  </sheetViews>
  <sheetFormatPr defaultColWidth="9.1796875" defaultRowHeight="21" x14ac:dyDescent="0.5"/>
  <cols>
    <col min="1" max="1" width="17.1796875" style="1" customWidth="1"/>
    <col min="2" max="2" width="23.54296875" style="1" customWidth="1"/>
    <col min="3" max="3" width="68.7265625" style="1" customWidth="1"/>
    <col min="4" max="4" width="17.81640625" style="1" customWidth="1"/>
    <col min="5" max="5" width="28.81640625" style="1" customWidth="1"/>
    <col min="6" max="6" width="16.1796875" style="1" customWidth="1"/>
    <col min="7" max="7" width="14.54296875" style="1" customWidth="1"/>
    <col min="8" max="8" width="16.1796875" style="1" customWidth="1"/>
    <col min="9" max="9" width="17.1796875" style="1" customWidth="1"/>
    <col min="10" max="10" width="17.7265625" style="1" customWidth="1"/>
    <col min="11" max="11" width="13.26953125" style="1" customWidth="1"/>
    <col min="12" max="12" width="16.54296875" style="1" customWidth="1"/>
    <col min="13" max="13" width="17.6328125" style="1" bestFit="1" customWidth="1"/>
    <col min="14" max="14" width="28.81640625" style="1" customWidth="1"/>
    <col min="15" max="15" width="33.1796875" style="1" customWidth="1"/>
    <col min="16" max="16" width="8.1796875" style="1" customWidth="1"/>
    <col min="17" max="17" width="4.81640625" style="1" customWidth="1"/>
    <col min="18" max="18" width="5.453125" style="1" customWidth="1"/>
    <col min="19" max="20" width="4.54296875" style="1" customWidth="1"/>
    <col min="21" max="21" width="5.1796875" style="1" customWidth="1"/>
    <col min="22" max="22" width="9.1796875" style="1" customWidth="1"/>
    <col min="23" max="16384" width="9.1796875" style="1"/>
  </cols>
  <sheetData>
    <row r="1" spans="1:14" ht="21.65" customHeight="1" x14ac:dyDescent="0.5">
      <c r="A1" s="159"/>
      <c r="B1" s="160"/>
      <c r="C1" s="160"/>
      <c r="D1" s="165" t="s">
        <v>2</v>
      </c>
      <c r="E1" s="165"/>
      <c r="F1" s="165"/>
      <c r="G1" s="165"/>
      <c r="H1" s="165"/>
      <c r="I1" s="165"/>
      <c r="J1" s="165"/>
      <c r="K1" s="166"/>
      <c r="L1" s="169" t="s">
        <v>0</v>
      </c>
      <c r="M1" s="170"/>
      <c r="N1" s="114" t="s">
        <v>2639</v>
      </c>
    </row>
    <row r="2" spans="1:14" ht="21.65" customHeight="1" x14ac:dyDescent="0.5">
      <c r="A2" s="161"/>
      <c r="B2" s="162"/>
      <c r="C2" s="162"/>
      <c r="D2" s="167"/>
      <c r="E2" s="167"/>
      <c r="F2" s="167"/>
      <c r="G2" s="167"/>
      <c r="H2" s="167"/>
      <c r="I2" s="167"/>
      <c r="J2" s="167"/>
      <c r="K2" s="168"/>
      <c r="L2" s="121" t="s">
        <v>3</v>
      </c>
      <c r="M2" s="122"/>
      <c r="N2" s="115" t="s">
        <v>2974</v>
      </c>
    </row>
    <row r="3" spans="1:14" ht="21.65" customHeight="1" x14ac:dyDescent="0.5">
      <c r="A3" s="161"/>
      <c r="B3" s="162"/>
      <c r="C3" s="162"/>
      <c r="D3" s="123" t="s">
        <v>29</v>
      </c>
      <c r="E3" s="123"/>
      <c r="F3" s="123"/>
      <c r="G3" s="123"/>
      <c r="H3" s="123"/>
      <c r="I3" s="123"/>
      <c r="J3" s="123"/>
      <c r="K3" s="124"/>
      <c r="L3" s="121" t="s">
        <v>5</v>
      </c>
      <c r="M3" s="122"/>
      <c r="N3" s="116" t="s">
        <v>2640</v>
      </c>
    </row>
    <row r="4" spans="1:14" ht="21.65" customHeight="1" thickBot="1" x14ac:dyDescent="0.55000000000000004">
      <c r="A4" s="163"/>
      <c r="B4" s="164"/>
      <c r="C4" s="164"/>
      <c r="D4" s="140" t="s">
        <v>7</v>
      </c>
      <c r="E4" s="140"/>
      <c r="F4" s="140"/>
      <c r="G4" s="140"/>
      <c r="H4" s="140"/>
      <c r="I4" s="140"/>
      <c r="J4" s="140"/>
      <c r="K4" s="141"/>
      <c r="L4" s="142" t="s">
        <v>8</v>
      </c>
      <c r="M4" s="143"/>
      <c r="N4" s="117" t="str">
        <f>N2</f>
        <v>10.04.2026</v>
      </c>
    </row>
    <row r="5" spans="1:14" ht="38.5" customHeight="1" thickBot="1" x14ac:dyDescent="0.55000000000000004">
      <c r="A5" s="144" t="s">
        <v>1437</v>
      </c>
      <c r="B5" s="145"/>
      <c r="C5" s="145"/>
      <c r="D5" s="145"/>
      <c r="E5" s="145"/>
      <c r="F5" s="145"/>
      <c r="G5" s="145"/>
      <c r="H5" s="145"/>
      <c r="I5" s="145"/>
      <c r="J5" s="145"/>
      <c r="K5" s="145"/>
      <c r="L5" s="145"/>
      <c r="M5" s="145"/>
      <c r="N5" s="146"/>
    </row>
    <row r="6" spans="1:14" s="2" customFormat="1" ht="21.5" thickBot="1" x14ac:dyDescent="0.55000000000000004">
      <c r="A6" s="147" t="s">
        <v>11</v>
      </c>
      <c r="B6" s="147"/>
      <c r="C6" s="4" t="s">
        <v>2564</v>
      </c>
      <c r="D6" s="147" t="s">
        <v>12</v>
      </c>
      <c r="E6" s="147"/>
      <c r="F6" s="153"/>
      <c r="G6" s="154"/>
      <c r="H6" s="147" t="s">
        <v>13</v>
      </c>
      <c r="I6" s="147"/>
      <c r="J6" s="5"/>
      <c r="K6" s="147" t="s">
        <v>1436</v>
      </c>
      <c r="L6" s="147"/>
      <c r="M6" s="147"/>
      <c r="N6" s="6"/>
    </row>
    <row r="7" spans="1:14" s="2" customFormat="1" ht="21.5" thickBot="1" x14ac:dyDescent="0.55000000000000004">
      <c r="A7" s="148" t="s">
        <v>15</v>
      </c>
      <c r="B7" s="148"/>
      <c r="C7" s="4" t="s">
        <v>4</v>
      </c>
      <c r="D7" s="148" t="s">
        <v>2632</v>
      </c>
      <c r="E7" s="148"/>
      <c r="F7" s="155"/>
      <c r="G7" s="156"/>
      <c r="H7" s="148" t="s">
        <v>2629</v>
      </c>
      <c r="I7" s="148"/>
      <c r="J7" s="6" t="s">
        <v>2634</v>
      </c>
      <c r="K7" s="150" t="s">
        <v>2641</v>
      </c>
      <c r="L7" s="151"/>
      <c r="M7" s="152"/>
      <c r="N7" s="6"/>
    </row>
    <row r="8" spans="1:14" s="2" customFormat="1" ht="21.5" thickBot="1" x14ac:dyDescent="0.55000000000000004">
      <c r="A8" s="148" t="s">
        <v>17</v>
      </c>
      <c r="B8" s="148"/>
      <c r="C8" s="4"/>
      <c r="D8" s="149" t="s">
        <v>2631</v>
      </c>
      <c r="E8" s="149"/>
      <c r="F8" s="177">
        <f>N100</f>
        <v>0</v>
      </c>
      <c r="G8" s="178"/>
      <c r="H8" s="148" t="s">
        <v>30</v>
      </c>
      <c r="I8" s="148"/>
      <c r="J8" s="5"/>
      <c r="K8" s="148" t="s">
        <v>18</v>
      </c>
      <c r="L8" s="148"/>
      <c r="M8" s="148"/>
      <c r="N8" s="6"/>
    </row>
    <row r="9" spans="1:14" s="2" customFormat="1" ht="21.5" thickBot="1" x14ac:dyDescent="0.55000000000000004">
      <c r="A9" s="171" t="s">
        <v>1445</v>
      </c>
      <c r="B9" s="171"/>
      <c r="C9" s="5"/>
      <c r="D9" s="171" t="s">
        <v>2553</v>
      </c>
      <c r="E9" s="171"/>
      <c r="F9" s="155" t="s">
        <v>2567</v>
      </c>
      <c r="G9" s="156"/>
      <c r="H9" s="171" t="s">
        <v>28</v>
      </c>
      <c r="I9" s="171"/>
      <c r="J9" s="5"/>
      <c r="K9" s="171" t="s">
        <v>31</v>
      </c>
      <c r="L9" s="171"/>
      <c r="M9" s="171"/>
      <c r="N9" s="87"/>
    </row>
    <row r="10" spans="1:14" s="2" customFormat="1" ht="20.149999999999999" customHeight="1" thickBot="1" x14ac:dyDescent="0.55000000000000004">
      <c r="A10" s="172" t="s">
        <v>21</v>
      </c>
      <c r="B10" s="173"/>
      <c r="C10" s="174"/>
      <c r="D10" s="174"/>
      <c r="E10" s="174"/>
      <c r="F10" s="174"/>
      <c r="G10" s="175"/>
      <c r="H10" s="172" t="s">
        <v>22</v>
      </c>
      <c r="I10" s="173"/>
      <c r="J10" s="173"/>
      <c r="K10" s="173"/>
      <c r="L10" s="173"/>
      <c r="M10" s="173"/>
      <c r="N10" s="176"/>
    </row>
    <row r="11" spans="1:14" s="2" customFormat="1" ht="35.15" customHeight="1" x14ac:dyDescent="0.5">
      <c r="A11" s="7" t="s">
        <v>23</v>
      </c>
      <c r="B11" s="36"/>
      <c r="C11" s="38"/>
      <c r="D11" s="39"/>
      <c r="E11" s="39"/>
      <c r="F11" s="39" t="s">
        <v>2476</v>
      </c>
      <c r="G11" s="40"/>
      <c r="H11" s="8" t="s">
        <v>23</v>
      </c>
      <c r="I11" s="38"/>
      <c r="J11" s="39"/>
      <c r="K11" s="39"/>
      <c r="L11" s="39"/>
      <c r="M11" s="39"/>
      <c r="N11" s="40"/>
    </row>
    <row r="12" spans="1:14" s="2" customFormat="1" ht="35.15" customHeight="1" x14ac:dyDescent="0.5">
      <c r="A12" s="9" t="s">
        <v>24</v>
      </c>
      <c r="B12" s="37"/>
      <c r="C12" s="41"/>
      <c r="D12" s="42"/>
      <c r="E12" s="42"/>
      <c r="F12" s="42"/>
      <c r="G12" s="43"/>
      <c r="H12" s="10" t="s">
        <v>24</v>
      </c>
      <c r="I12" s="41"/>
      <c r="J12" s="42"/>
      <c r="K12" s="42"/>
      <c r="L12" s="42"/>
      <c r="M12" s="42"/>
      <c r="N12" s="43"/>
    </row>
    <row r="13" spans="1:14" s="2" customFormat="1" ht="35.15" customHeight="1" x14ac:dyDescent="0.5">
      <c r="A13" s="11"/>
      <c r="B13" s="37"/>
      <c r="C13" s="41"/>
      <c r="D13" s="42"/>
      <c r="E13" s="42"/>
      <c r="F13" s="42"/>
      <c r="G13" s="43"/>
      <c r="H13" s="10"/>
      <c r="I13" s="41"/>
      <c r="J13" s="42"/>
      <c r="K13" s="42"/>
      <c r="L13" s="42"/>
      <c r="M13" s="42"/>
      <c r="N13" s="43"/>
    </row>
    <row r="14" spans="1:14" s="2" customFormat="1" ht="35.15" customHeight="1" x14ac:dyDescent="0.5">
      <c r="A14" s="66" t="s">
        <v>25</v>
      </c>
      <c r="B14" s="67"/>
      <c r="C14" s="41"/>
      <c r="D14" s="42"/>
      <c r="E14" s="42"/>
      <c r="F14" s="42"/>
      <c r="G14" s="43"/>
      <c r="H14" s="68" t="s">
        <v>25</v>
      </c>
      <c r="I14" s="41"/>
      <c r="J14" s="42"/>
      <c r="K14" s="42"/>
      <c r="L14" s="42"/>
      <c r="M14" s="42"/>
      <c r="N14" s="43"/>
    </row>
    <row r="15" spans="1:14" s="2" customFormat="1" ht="35.15" customHeight="1" x14ac:dyDescent="0.5">
      <c r="A15" s="66" t="s">
        <v>26</v>
      </c>
      <c r="B15" s="67"/>
      <c r="C15" s="41"/>
      <c r="D15" s="42"/>
      <c r="E15" s="42"/>
      <c r="F15" s="42"/>
      <c r="G15" s="43"/>
      <c r="H15" s="68" t="s">
        <v>26</v>
      </c>
      <c r="I15" s="41"/>
      <c r="J15" s="42"/>
      <c r="K15" s="42"/>
      <c r="L15" s="42"/>
      <c r="M15" s="42"/>
      <c r="N15" s="43"/>
    </row>
    <row r="16" spans="1:14" s="2" customFormat="1" ht="35.15" customHeight="1" thickBot="1" x14ac:dyDescent="0.55000000000000004">
      <c r="A16" s="69" t="s">
        <v>27</v>
      </c>
      <c r="B16" s="70"/>
      <c r="C16" s="44"/>
      <c r="D16" s="45"/>
      <c r="E16" s="45"/>
      <c r="F16" s="45"/>
      <c r="G16" s="46"/>
      <c r="H16" s="71" t="s">
        <v>27</v>
      </c>
      <c r="I16" s="44"/>
      <c r="J16" s="45"/>
      <c r="K16" s="45"/>
      <c r="L16" s="45"/>
      <c r="M16" s="45"/>
      <c r="N16" s="46"/>
    </row>
    <row r="17" spans="1:15" s="2" customFormat="1" ht="20.149999999999999" customHeight="1" thickBot="1" x14ac:dyDescent="0.55000000000000004">
      <c r="A17" s="212" t="s">
        <v>32</v>
      </c>
      <c r="B17" s="213"/>
      <c r="C17" s="73">
        <f>IF(C19="Advance ",3%,0%)</f>
        <v>0.03</v>
      </c>
      <c r="D17" s="218"/>
      <c r="E17" s="218"/>
      <c r="F17" s="218"/>
      <c r="G17" s="218"/>
      <c r="H17" s="219"/>
      <c r="I17" s="219"/>
      <c r="J17" s="219"/>
      <c r="K17" s="219"/>
      <c r="L17" s="219"/>
      <c r="M17" s="219"/>
      <c r="N17" s="220"/>
    </row>
    <row r="18" spans="1:15" s="2" customFormat="1" ht="20.149999999999999" customHeight="1" thickBot="1" x14ac:dyDescent="0.55000000000000004">
      <c r="A18" s="214" t="s">
        <v>33</v>
      </c>
      <c r="B18" s="215"/>
      <c r="C18" s="47" t="s">
        <v>2562</v>
      </c>
      <c r="D18" s="218"/>
      <c r="E18" s="218"/>
      <c r="F18" s="218"/>
      <c r="G18" s="218"/>
      <c r="H18" s="218"/>
      <c r="I18" s="218"/>
      <c r="J18" s="218"/>
      <c r="K18" s="218"/>
      <c r="L18" s="218"/>
      <c r="M18" s="218"/>
      <c r="N18" s="221"/>
    </row>
    <row r="19" spans="1:15" s="2" customFormat="1" ht="20.149999999999999" customHeight="1" thickBot="1" x14ac:dyDescent="0.55000000000000004">
      <c r="A19" s="216" t="s">
        <v>34</v>
      </c>
      <c r="B19" s="217"/>
      <c r="C19" s="47" t="s">
        <v>2559</v>
      </c>
      <c r="D19" s="222"/>
      <c r="E19" s="222"/>
      <c r="F19" s="222"/>
      <c r="G19" s="222"/>
      <c r="H19" s="222"/>
      <c r="I19" s="222"/>
      <c r="J19" s="222"/>
      <c r="K19" s="222"/>
      <c r="L19" s="222"/>
      <c r="M19" s="222"/>
      <c r="N19" s="223"/>
    </row>
    <row r="20" spans="1:15" s="2" customFormat="1" ht="35.25" customHeight="1" thickBot="1" x14ac:dyDescent="0.55000000000000004">
      <c r="A20" s="179" t="s">
        <v>57</v>
      </c>
      <c r="B20" s="180"/>
      <c r="C20" s="181"/>
      <c r="D20" s="187"/>
      <c r="E20" s="188"/>
      <c r="F20" s="188"/>
      <c r="G20" s="189"/>
      <c r="H20" s="190" t="s">
        <v>58</v>
      </c>
      <c r="I20" s="191"/>
      <c r="J20" s="192"/>
      <c r="K20" s="193"/>
      <c r="L20" s="194"/>
      <c r="M20" s="194"/>
      <c r="N20" s="195"/>
    </row>
    <row r="21" spans="1:15" s="3" customFormat="1" ht="36.75" customHeight="1" x14ac:dyDescent="0.5">
      <c r="A21" s="182" t="s">
        <v>37</v>
      </c>
      <c r="B21" s="183"/>
      <c r="C21" s="184"/>
      <c r="D21" s="196"/>
      <c r="E21" s="197"/>
      <c r="F21" s="197"/>
      <c r="G21" s="198"/>
      <c r="H21" s="199" t="s">
        <v>536</v>
      </c>
      <c r="I21" s="200"/>
      <c r="J21" s="201"/>
      <c r="K21" s="202"/>
      <c r="L21" s="203"/>
      <c r="M21" s="203"/>
      <c r="N21" s="204"/>
    </row>
    <row r="22" spans="1:15" s="3" customFormat="1" ht="41.5" customHeight="1" thickBot="1" x14ac:dyDescent="0.4">
      <c r="A22" s="205" t="s">
        <v>36</v>
      </c>
      <c r="B22" s="205"/>
      <c r="C22" s="206"/>
      <c r="D22" s="206"/>
      <c r="E22" s="206"/>
      <c r="F22" s="206"/>
      <c r="G22" s="206"/>
      <c r="H22" s="206"/>
      <c r="I22" s="206"/>
      <c r="J22" s="206"/>
      <c r="K22" s="206"/>
      <c r="L22" s="206"/>
      <c r="M22" s="206"/>
      <c r="N22" s="206"/>
    </row>
    <row r="23" spans="1:15" s="2" customFormat="1" ht="20.149999999999999" customHeight="1" x14ac:dyDescent="0.5">
      <c r="A23" s="207" t="s">
        <v>38</v>
      </c>
      <c r="B23" s="157" t="s">
        <v>39</v>
      </c>
      <c r="C23" s="210" t="s">
        <v>40</v>
      </c>
      <c r="D23" s="157" t="s">
        <v>41</v>
      </c>
      <c r="E23" s="157" t="s">
        <v>42</v>
      </c>
      <c r="F23" s="157" t="s">
        <v>43</v>
      </c>
      <c r="G23" s="157" t="s">
        <v>44</v>
      </c>
      <c r="H23" s="157" t="s">
        <v>45</v>
      </c>
      <c r="I23" s="157" t="s">
        <v>535</v>
      </c>
      <c r="J23" s="157" t="s">
        <v>46</v>
      </c>
      <c r="K23" s="157"/>
      <c r="L23" s="157"/>
      <c r="M23" s="157" t="s">
        <v>47</v>
      </c>
      <c r="N23" s="157" t="s">
        <v>48</v>
      </c>
      <c r="O23" s="185" t="s">
        <v>49</v>
      </c>
    </row>
    <row r="24" spans="1:15" s="2" customFormat="1" ht="40" customHeight="1" x14ac:dyDescent="0.5">
      <c r="A24" s="208"/>
      <c r="B24" s="209"/>
      <c r="C24" s="211"/>
      <c r="D24" s="158"/>
      <c r="E24" s="158"/>
      <c r="F24" s="158"/>
      <c r="G24" s="158"/>
      <c r="H24" s="158"/>
      <c r="I24" s="158"/>
      <c r="J24" s="75" t="s">
        <v>51</v>
      </c>
      <c r="K24" s="75" t="s">
        <v>52</v>
      </c>
      <c r="L24" s="118" t="s">
        <v>53</v>
      </c>
      <c r="M24" s="158"/>
      <c r="N24" s="158"/>
      <c r="O24" s="186"/>
    </row>
    <row r="25" spans="1:15" ht="27" customHeight="1" x14ac:dyDescent="0.5">
      <c r="A25" s="72">
        <v>1</v>
      </c>
      <c r="B25" s="95" t="s">
        <v>625</v>
      </c>
      <c r="C25" s="76" t="str">
        <f>IFERROR(VLOOKUP(B25,'Product Master'!$A:$J,2,FALSE),"")</f>
        <v>ULTRA SILENT PIPE WITH ONE SOCKET L 3000</v>
      </c>
      <c r="D25" s="77">
        <f>IFERROR(VLOOKUP(B25,'Product Master'!$A:$J,3,FALSE),"")</f>
        <v>110</v>
      </c>
      <c r="E25" s="76" t="str">
        <f>IFERROR(VLOOKUP(B25,'Product Master'!$A:$J,6,FALSE),"")</f>
        <v>US  S/S PIPE 3 Mtr</v>
      </c>
      <c r="F25" s="77">
        <f>IFERROR(VLOOKUP(B25,'Product Master'!$A:$J,4,FALSE),"")</f>
        <v>1</v>
      </c>
      <c r="G25" s="51">
        <v>10</v>
      </c>
      <c r="H25" s="77">
        <f>IFERROR(VLOOKUP(B25,'Product Master'!$A:$J,8,FALSE),"")</f>
        <v>39171020</v>
      </c>
      <c r="I25" s="93">
        <f>IFERROR(VLOOKUP(B25,'Product Master'!$A:$J,5,FALSE),"")</f>
        <v>2954</v>
      </c>
      <c r="J25" s="78">
        <v>0.52</v>
      </c>
      <c r="K25" s="79">
        <f>IF(ISBLANK($J25),"",$C$17)</f>
        <v>0.03</v>
      </c>
      <c r="L25" s="80">
        <f>IFERROR(J25+(100%-J25)*K25,"")</f>
        <v>0.53439999999999999</v>
      </c>
      <c r="M25" s="81">
        <f>ROUNDUP(IFERROR(I25-(I25*L25),""),2)</f>
        <v>1375.39</v>
      </c>
      <c r="N25" s="106">
        <f>IF('Dash Board'!$C$17="Error Pls Fill in the Details",0,IFERROR((G25*M25),""))</f>
        <v>0</v>
      </c>
      <c r="O25" s="82" t="str">
        <f>IFERROR(VLOOKUP(B25,'Product Master'!$A:$J,7,FALSE),"")</f>
        <v>US S/S PIPE</v>
      </c>
    </row>
    <row r="26" spans="1:15" ht="27" customHeight="1" x14ac:dyDescent="0.5">
      <c r="A26" s="72">
        <v>2</v>
      </c>
      <c r="B26" s="95"/>
      <c r="C26" s="76" t="str">
        <f>IFERROR(VLOOKUP(B26,'Product Master'!$A:$J,2,FALSE),"")</f>
        <v/>
      </c>
      <c r="D26" s="77" t="str">
        <f>IFERROR(VLOOKUP(B26,'Product Master'!$A:$J,3,FALSE),"")</f>
        <v/>
      </c>
      <c r="E26" s="76" t="str">
        <f>IFERROR(VLOOKUP(B26,'Product Master'!$A:$J,6,FALSE),"")</f>
        <v/>
      </c>
      <c r="F26" s="77" t="str">
        <f>IFERROR(VLOOKUP(B26,'Product Master'!$A:$J,4,FALSE),"")</f>
        <v/>
      </c>
      <c r="G26" s="51"/>
      <c r="H26" s="77" t="str">
        <f>IFERROR(VLOOKUP(B26,'Product Master'!$A:$J,8,FALSE),"")</f>
        <v/>
      </c>
      <c r="I26" s="93" t="str">
        <f>IFERROR(VLOOKUP(B26,'Product Master'!$A:$J,5,FALSE),"")</f>
        <v/>
      </c>
      <c r="J26" s="78"/>
      <c r="K26" s="79" t="str">
        <f t="shared" ref="K26:K89" si="0">IF(ISBLANK($J26),"",$C$17)</f>
        <v/>
      </c>
      <c r="L26" s="80" t="str">
        <f t="shared" ref="L26:L89" si="1">IFERROR(J26+(100%-J26)*K26,"")</f>
        <v/>
      </c>
      <c r="M26" s="81" t="e">
        <f t="shared" ref="M26:M89" si="2">ROUNDUP(IFERROR(I26-(I26*L26),""),2)</f>
        <v>#VALUE!</v>
      </c>
      <c r="N26" s="106">
        <f>IF('Dash Board'!$C$17="Error Pls Fill in the Details",0,IFERROR((G26*M26),""))</f>
        <v>0</v>
      </c>
      <c r="O26" s="82" t="str">
        <f>IFERROR(VLOOKUP(B26,'Product Master'!$A:$J,7,FALSE),"")</f>
        <v/>
      </c>
    </row>
    <row r="27" spans="1:15" ht="27" customHeight="1" x14ac:dyDescent="0.5">
      <c r="A27" s="72">
        <v>3</v>
      </c>
      <c r="B27" s="95"/>
      <c r="C27" s="76" t="str">
        <f>IFERROR(VLOOKUP(B27,'Product Master'!$A:$J,2,FALSE),"")</f>
        <v/>
      </c>
      <c r="D27" s="77" t="str">
        <f>IFERROR(VLOOKUP(B27,'Product Master'!$A:$J,3,FALSE),"")</f>
        <v/>
      </c>
      <c r="E27" s="76" t="str">
        <f>IFERROR(VLOOKUP(B27,'Product Master'!$A:$J,6,FALSE),"")</f>
        <v/>
      </c>
      <c r="F27" s="77" t="str">
        <f>IFERROR(VLOOKUP(B27,'Product Master'!$A:$J,4,FALSE),"")</f>
        <v/>
      </c>
      <c r="G27" s="51"/>
      <c r="H27" s="77" t="str">
        <f>IFERROR(VLOOKUP(B27,'Product Master'!$A:$J,8,FALSE),"")</f>
        <v/>
      </c>
      <c r="I27" s="93" t="str">
        <f>IFERROR(VLOOKUP(B27,'Product Master'!$A:$J,5,FALSE),"")</f>
        <v/>
      </c>
      <c r="J27" s="78"/>
      <c r="K27" s="79" t="str">
        <f t="shared" si="0"/>
        <v/>
      </c>
      <c r="L27" s="80" t="str">
        <f t="shared" si="1"/>
        <v/>
      </c>
      <c r="M27" s="81" t="e">
        <f t="shared" si="2"/>
        <v>#VALUE!</v>
      </c>
      <c r="N27" s="106">
        <f>IF('Dash Board'!$C$17="Error Pls Fill in the Details",0,IFERROR((G27*M27),""))</f>
        <v>0</v>
      </c>
      <c r="O27" s="82" t="str">
        <f>IFERROR(VLOOKUP(B27,'Product Master'!$A:$J,7,FALSE),"")</f>
        <v/>
      </c>
    </row>
    <row r="28" spans="1:15" ht="27" customHeight="1" x14ac:dyDescent="0.5">
      <c r="A28" s="72">
        <v>4</v>
      </c>
      <c r="B28" s="95"/>
      <c r="C28" s="76" t="str">
        <f>IFERROR(VLOOKUP(B28,'Product Master'!$A:$J,2,FALSE),"")</f>
        <v/>
      </c>
      <c r="D28" s="77" t="str">
        <f>IFERROR(VLOOKUP(B28,'Product Master'!$A:$J,3,FALSE),"")</f>
        <v/>
      </c>
      <c r="E28" s="76" t="str">
        <f>IFERROR(VLOOKUP(B28,'Product Master'!$A:$J,6,FALSE),"")</f>
        <v/>
      </c>
      <c r="F28" s="77" t="str">
        <f>IFERROR(VLOOKUP(B28,'Product Master'!$A:$J,4,FALSE),"")</f>
        <v/>
      </c>
      <c r="G28" s="51"/>
      <c r="H28" s="77" t="str">
        <f>IFERROR(VLOOKUP(B28,'Product Master'!$A:$J,8,FALSE),"")</f>
        <v/>
      </c>
      <c r="I28" s="93" t="str">
        <f>IFERROR(VLOOKUP(B28,'Product Master'!$A:$J,5,FALSE),"")</f>
        <v/>
      </c>
      <c r="J28" s="78"/>
      <c r="K28" s="79" t="str">
        <f t="shared" si="0"/>
        <v/>
      </c>
      <c r="L28" s="80" t="str">
        <f t="shared" si="1"/>
        <v/>
      </c>
      <c r="M28" s="81" t="e">
        <f t="shared" si="2"/>
        <v>#VALUE!</v>
      </c>
      <c r="N28" s="106">
        <f>IF('Dash Board'!$C$17="Error Pls Fill in the Details",0,IFERROR((G28*M28),""))</f>
        <v>0</v>
      </c>
      <c r="O28" s="82" t="str">
        <f>IFERROR(VLOOKUP(B28,'Product Master'!$A:$J,7,FALSE),"")</f>
        <v/>
      </c>
    </row>
    <row r="29" spans="1:15" ht="27" customHeight="1" x14ac:dyDescent="0.5">
      <c r="A29" s="72">
        <v>5</v>
      </c>
      <c r="B29" s="95"/>
      <c r="C29" s="76" t="str">
        <f>IFERROR(VLOOKUP(B29,'Product Master'!$A:$J,2,FALSE),"")</f>
        <v/>
      </c>
      <c r="D29" s="77" t="str">
        <f>IFERROR(VLOOKUP(B29,'Product Master'!$A:$J,3,FALSE),"")</f>
        <v/>
      </c>
      <c r="E29" s="76" t="str">
        <f>IFERROR(VLOOKUP(B29,'Product Master'!$A:$J,6,FALSE),"")</f>
        <v/>
      </c>
      <c r="F29" s="77" t="str">
        <f>IFERROR(VLOOKUP(B29,'Product Master'!$A:$J,4,FALSE),"")</f>
        <v/>
      </c>
      <c r="G29" s="51"/>
      <c r="H29" s="77" t="str">
        <f>IFERROR(VLOOKUP(B29,'Product Master'!$A:$J,8,FALSE),"")</f>
        <v/>
      </c>
      <c r="I29" s="93" t="str">
        <f>IFERROR(VLOOKUP(B29,'Product Master'!$A:$J,5,FALSE),"")</f>
        <v/>
      </c>
      <c r="J29" s="78"/>
      <c r="K29" s="79" t="str">
        <f t="shared" si="0"/>
        <v/>
      </c>
      <c r="L29" s="80" t="str">
        <f t="shared" si="1"/>
        <v/>
      </c>
      <c r="M29" s="81" t="e">
        <f t="shared" si="2"/>
        <v>#VALUE!</v>
      </c>
      <c r="N29" s="106">
        <f>IF('Dash Board'!$C$17="Error Pls Fill in the Details",0,IFERROR((G29*M29),""))</f>
        <v>0</v>
      </c>
      <c r="O29" s="82" t="str">
        <f>IFERROR(VLOOKUP(B29,'Product Master'!$A:$J,7,FALSE),"")</f>
        <v/>
      </c>
    </row>
    <row r="30" spans="1:15" ht="27" customHeight="1" x14ac:dyDescent="0.5">
      <c r="A30" s="72">
        <v>6</v>
      </c>
      <c r="B30" s="95"/>
      <c r="C30" s="76" t="str">
        <f>IFERROR(VLOOKUP(B30,'Product Master'!$A:$J,2,FALSE),"")</f>
        <v/>
      </c>
      <c r="D30" s="77" t="str">
        <f>IFERROR(VLOOKUP(B30,'Product Master'!$A:$J,3,FALSE),"")</f>
        <v/>
      </c>
      <c r="E30" s="76" t="str">
        <f>IFERROR(VLOOKUP(B30,'Product Master'!$A:$J,6,FALSE),"")</f>
        <v/>
      </c>
      <c r="F30" s="77" t="str">
        <f>IFERROR(VLOOKUP(B30,'Product Master'!$A:$J,4,FALSE),"")</f>
        <v/>
      </c>
      <c r="G30" s="51"/>
      <c r="H30" s="77" t="str">
        <f>IFERROR(VLOOKUP(B30,'Product Master'!$A:$J,8,FALSE),"")</f>
        <v/>
      </c>
      <c r="I30" s="93" t="str">
        <f>IFERROR(VLOOKUP(B30,'Product Master'!$A:$J,5,FALSE),"")</f>
        <v/>
      </c>
      <c r="J30" s="78"/>
      <c r="K30" s="79" t="str">
        <f t="shared" si="0"/>
        <v/>
      </c>
      <c r="L30" s="80" t="str">
        <f t="shared" si="1"/>
        <v/>
      </c>
      <c r="M30" s="81" t="e">
        <f t="shared" si="2"/>
        <v>#VALUE!</v>
      </c>
      <c r="N30" s="106">
        <f>IF('Dash Board'!$C$17="Error Pls Fill in the Details",0,IFERROR((G30*M30),""))</f>
        <v>0</v>
      </c>
      <c r="O30" s="82" t="str">
        <f>IFERROR(VLOOKUP(B30,'Product Master'!$A:$J,7,FALSE),"")</f>
        <v/>
      </c>
    </row>
    <row r="31" spans="1:15" ht="27" customHeight="1" x14ac:dyDescent="0.5">
      <c r="A31" s="72">
        <v>7</v>
      </c>
      <c r="B31" s="95"/>
      <c r="C31" s="76" t="str">
        <f>IFERROR(VLOOKUP(B31,'Product Master'!$A:$J,2,FALSE),"")</f>
        <v/>
      </c>
      <c r="D31" s="77" t="str">
        <f>IFERROR(VLOOKUP(B31,'Product Master'!$A:$J,3,FALSE),"")</f>
        <v/>
      </c>
      <c r="E31" s="76" t="str">
        <f>IFERROR(VLOOKUP(B31,'Product Master'!$A:$J,6,FALSE),"")</f>
        <v/>
      </c>
      <c r="F31" s="77" t="str">
        <f>IFERROR(VLOOKUP(B31,'Product Master'!$A:$J,4,FALSE),"")</f>
        <v/>
      </c>
      <c r="G31" s="51"/>
      <c r="H31" s="77" t="str">
        <f>IFERROR(VLOOKUP(B31,'Product Master'!$A:$J,8,FALSE),"")</f>
        <v/>
      </c>
      <c r="I31" s="93" t="str">
        <f>IFERROR(VLOOKUP(B31,'Product Master'!$A:$J,5,FALSE),"")</f>
        <v/>
      </c>
      <c r="J31" s="78"/>
      <c r="K31" s="79" t="str">
        <f t="shared" si="0"/>
        <v/>
      </c>
      <c r="L31" s="80" t="str">
        <f t="shared" si="1"/>
        <v/>
      </c>
      <c r="M31" s="81" t="e">
        <f t="shared" si="2"/>
        <v>#VALUE!</v>
      </c>
      <c r="N31" s="106">
        <f>IF('Dash Board'!$C$17="Error Pls Fill in the Details",0,IFERROR((G31*M31),""))</f>
        <v>0</v>
      </c>
      <c r="O31" s="82" t="str">
        <f>IFERROR(VLOOKUP(B31,'Product Master'!$A:$J,7,FALSE),"")</f>
        <v/>
      </c>
    </row>
    <row r="32" spans="1:15" ht="27" customHeight="1" x14ac:dyDescent="0.5">
      <c r="A32" s="72">
        <v>8</v>
      </c>
      <c r="B32" s="95"/>
      <c r="C32" s="76" t="str">
        <f>IFERROR(VLOOKUP(B32,'Product Master'!$A:$J,2,FALSE),"")</f>
        <v/>
      </c>
      <c r="D32" s="77" t="str">
        <f>IFERROR(VLOOKUP(B32,'Product Master'!$A:$J,3,FALSE),"")</f>
        <v/>
      </c>
      <c r="E32" s="76" t="str">
        <f>IFERROR(VLOOKUP(B32,'Product Master'!$A:$J,6,FALSE),"")</f>
        <v/>
      </c>
      <c r="F32" s="77" t="str">
        <f>IFERROR(VLOOKUP(B32,'Product Master'!$A:$J,4,FALSE),"")</f>
        <v/>
      </c>
      <c r="G32" s="51"/>
      <c r="H32" s="77" t="str">
        <f>IFERROR(VLOOKUP(B32,'Product Master'!$A:$J,8,FALSE),"")</f>
        <v/>
      </c>
      <c r="I32" s="93" t="str">
        <f>IFERROR(VLOOKUP(B32,'Product Master'!$A:$J,5,FALSE),"")</f>
        <v/>
      </c>
      <c r="J32" s="78"/>
      <c r="K32" s="79" t="str">
        <f t="shared" si="0"/>
        <v/>
      </c>
      <c r="L32" s="80" t="str">
        <f t="shared" si="1"/>
        <v/>
      </c>
      <c r="M32" s="81" t="e">
        <f t="shared" si="2"/>
        <v>#VALUE!</v>
      </c>
      <c r="N32" s="106">
        <f>IF('Dash Board'!$C$17="Error Pls Fill in the Details",0,IFERROR((G32*M32),""))</f>
        <v>0</v>
      </c>
      <c r="O32" s="82" t="str">
        <f>IFERROR(VLOOKUP(B32,'Product Master'!$A:$J,7,FALSE),"")</f>
        <v/>
      </c>
    </row>
    <row r="33" spans="1:15" ht="27" customHeight="1" x14ac:dyDescent="0.5">
      <c r="A33" s="72">
        <v>9</v>
      </c>
      <c r="B33" s="95"/>
      <c r="C33" s="76" t="str">
        <f>IFERROR(VLOOKUP(B33,'Product Master'!$A:$J,2,FALSE),"")</f>
        <v/>
      </c>
      <c r="D33" s="77" t="str">
        <f>IFERROR(VLOOKUP(B33,'Product Master'!$A:$J,3,FALSE),"")</f>
        <v/>
      </c>
      <c r="E33" s="76" t="str">
        <f>IFERROR(VLOOKUP(B33,'Product Master'!$A:$J,6,FALSE),"")</f>
        <v/>
      </c>
      <c r="F33" s="77" t="str">
        <f>IFERROR(VLOOKUP(B33,'Product Master'!$A:$J,4,FALSE),"")</f>
        <v/>
      </c>
      <c r="G33" s="51"/>
      <c r="H33" s="77" t="str">
        <f>IFERROR(VLOOKUP(B33,'Product Master'!$A:$J,8,FALSE),"")</f>
        <v/>
      </c>
      <c r="I33" s="93" t="str">
        <f>IFERROR(VLOOKUP(B33,'Product Master'!$A:$J,5,FALSE),"")</f>
        <v/>
      </c>
      <c r="J33" s="78"/>
      <c r="K33" s="79" t="str">
        <f t="shared" si="0"/>
        <v/>
      </c>
      <c r="L33" s="80" t="str">
        <f t="shared" si="1"/>
        <v/>
      </c>
      <c r="M33" s="81" t="e">
        <f t="shared" si="2"/>
        <v>#VALUE!</v>
      </c>
      <c r="N33" s="106">
        <f>IF('Dash Board'!$C$17="Error Pls Fill in the Details",0,IFERROR((G33*M33),""))</f>
        <v>0</v>
      </c>
      <c r="O33" s="82" t="str">
        <f>IFERROR(VLOOKUP(B33,'Product Master'!$A:$J,7,FALSE),"")</f>
        <v/>
      </c>
    </row>
    <row r="34" spans="1:15" ht="27" customHeight="1" x14ac:dyDescent="0.5">
      <c r="A34" s="72">
        <v>10</v>
      </c>
      <c r="B34" s="95"/>
      <c r="C34" s="76" t="str">
        <f>IFERROR(VLOOKUP(B34,'Product Master'!$A:$J,2,FALSE),"")</f>
        <v/>
      </c>
      <c r="D34" s="77" t="str">
        <f>IFERROR(VLOOKUP(B34,'Product Master'!$A:$J,3,FALSE),"")</f>
        <v/>
      </c>
      <c r="E34" s="76" t="str">
        <f>IFERROR(VLOOKUP(B34,'Product Master'!$A:$J,6,FALSE),"")</f>
        <v/>
      </c>
      <c r="F34" s="77" t="str">
        <f>IFERROR(VLOOKUP(B34,'Product Master'!$A:$J,4,FALSE),"")</f>
        <v/>
      </c>
      <c r="G34" s="51"/>
      <c r="H34" s="77" t="str">
        <f>IFERROR(VLOOKUP(B34,'Product Master'!$A:$J,8,FALSE),"")</f>
        <v/>
      </c>
      <c r="I34" s="93" t="str">
        <f>IFERROR(VLOOKUP(B34,'Product Master'!$A:$J,5,FALSE),"")</f>
        <v/>
      </c>
      <c r="J34" s="78"/>
      <c r="K34" s="79" t="str">
        <f t="shared" si="0"/>
        <v/>
      </c>
      <c r="L34" s="80" t="str">
        <f t="shared" si="1"/>
        <v/>
      </c>
      <c r="M34" s="81" t="e">
        <f t="shared" si="2"/>
        <v>#VALUE!</v>
      </c>
      <c r="N34" s="106">
        <f>IF('Dash Board'!$C$17="Error Pls Fill in the Details",0,IFERROR((G34*M34),""))</f>
        <v>0</v>
      </c>
      <c r="O34" s="82" t="str">
        <f>IFERROR(VLOOKUP(B34,'Product Master'!$A:$J,7,FALSE),"")</f>
        <v/>
      </c>
    </row>
    <row r="35" spans="1:15" ht="27" customHeight="1" x14ac:dyDescent="0.5">
      <c r="A35" s="72">
        <v>11</v>
      </c>
      <c r="B35" s="95"/>
      <c r="C35" s="76" t="str">
        <f>IFERROR(VLOOKUP(B35,'Product Master'!$A:$J,2,FALSE),"")</f>
        <v/>
      </c>
      <c r="D35" s="77" t="str">
        <f>IFERROR(VLOOKUP(B35,'Product Master'!$A:$J,3,FALSE),"")</f>
        <v/>
      </c>
      <c r="E35" s="76" t="str">
        <f>IFERROR(VLOOKUP(B35,'Product Master'!$A:$J,6,FALSE),"")</f>
        <v/>
      </c>
      <c r="F35" s="77" t="str">
        <f>IFERROR(VLOOKUP(B35,'Product Master'!$A:$J,4,FALSE),"")</f>
        <v/>
      </c>
      <c r="G35" s="51"/>
      <c r="H35" s="77" t="str">
        <f>IFERROR(VLOOKUP(B35,'Product Master'!$A:$J,8,FALSE),"")</f>
        <v/>
      </c>
      <c r="I35" s="93" t="str">
        <f>IFERROR(VLOOKUP(B35,'Product Master'!$A:$J,5,FALSE),"")</f>
        <v/>
      </c>
      <c r="J35" s="78"/>
      <c r="K35" s="79" t="str">
        <f t="shared" si="0"/>
        <v/>
      </c>
      <c r="L35" s="80" t="str">
        <f t="shared" si="1"/>
        <v/>
      </c>
      <c r="M35" s="81" t="e">
        <f t="shared" si="2"/>
        <v>#VALUE!</v>
      </c>
      <c r="N35" s="106">
        <f>IF('Dash Board'!$C$17="Error Pls Fill in the Details",0,IFERROR((G35*M35),""))</f>
        <v>0</v>
      </c>
      <c r="O35" s="82" t="str">
        <f>IFERROR(VLOOKUP(B35,'Product Master'!$A:$J,7,FALSE),"")</f>
        <v/>
      </c>
    </row>
    <row r="36" spans="1:15" ht="27" customHeight="1" x14ac:dyDescent="0.5">
      <c r="A36" s="72">
        <v>12</v>
      </c>
      <c r="B36" s="95"/>
      <c r="C36" s="76" t="str">
        <f>IFERROR(VLOOKUP(B36,'Product Master'!$A:$J,2,FALSE),"")</f>
        <v/>
      </c>
      <c r="D36" s="77" t="str">
        <f>IFERROR(VLOOKUP(B36,'Product Master'!$A:$J,3,FALSE),"")</f>
        <v/>
      </c>
      <c r="E36" s="76" t="str">
        <f>IFERROR(VLOOKUP(B36,'Product Master'!$A:$J,6,FALSE),"")</f>
        <v/>
      </c>
      <c r="F36" s="77" t="str">
        <f>IFERROR(VLOOKUP(B36,'Product Master'!$A:$J,4,FALSE),"")</f>
        <v/>
      </c>
      <c r="G36" s="51"/>
      <c r="H36" s="77" t="str">
        <f>IFERROR(VLOOKUP(B36,'Product Master'!$A:$J,8,FALSE),"")</f>
        <v/>
      </c>
      <c r="I36" s="93" t="str">
        <f>IFERROR(VLOOKUP(B36,'Product Master'!$A:$J,5,FALSE),"")</f>
        <v/>
      </c>
      <c r="J36" s="78"/>
      <c r="K36" s="79" t="str">
        <f t="shared" si="0"/>
        <v/>
      </c>
      <c r="L36" s="80" t="str">
        <f t="shared" si="1"/>
        <v/>
      </c>
      <c r="M36" s="81" t="e">
        <f t="shared" si="2"/>
        <v>#VALUE!</v>
      </c>
      <c r="N36" s="106">
        <f>IF('Dash Board'!$C$17="Error Pls Fill in the Details",0,IFERROR((G36*M36),""))</f>
        <v>0</v>
      </c>
      <c r="O36" s="82" t="str">
        <f>IFERROR(VLOOKUP(B36,'Product Master'!$A:$J,7,FALSE),"")</f>
        <v/>
      </c>
    </row>
    <row r="37" spans="1:15" ht="27" customHeight="1" x14ac:dyDescent="0.5">
      <c r="A37" s="72">
        <v>13</v>
      </c>
      <c r="B37" s="95"/>
      <c r="C37" s="76" t="str">
        <f>IFERROR(VLOOKUP(B37,'Product Master'!$A:$J,2,FALSE),"")</f>
        <v/>
      </c>
      <c r="D37" s="77" t="str">
        <f>IFERROR(VLOOKUP(B37,'Product Master'!$A:$J,3,FALSE),"")</f>
        <v/>
      </c>
      <c r="E37" s="76" t="str">
        <f>IFERROR(VLOOKUP(B37,'Product Master'!$A:$J,6,FALSE),"")</f>
        <v/>
      </c>
      <c r="F37" s="77" t="str">
        <f>IFERROR(VLOOKUP(B37,'Product Master'!$A:$J,4,FALSE),"")</f>
        <v/>
      </c>
      <c r="G37" s="51"/>
      <c r="H37" s="77" t="str">
        <f>IFERROR(VLOOKUP(B37,'Product Master'!$A:$J,8,FALSE),"")</f>
        <v/>
      </c>
      <c r="I37" s="93" t="str">
        <f>IFERROR(VLOOKUP(B37,'Product Master'!$A:$J,5,FALSE),"")</f>
        <v/>
      </c>
      <c r="J37" s="78"/>
      <c r="K37" s="79" t="str">
        <f t="shared" si="0"/>
        <v/>
      </c>
      <c r="L37" s="80" t="str">
        <f t="shared" si="1"/>
        <v/>
      </c>
      <c r="M37" s="81" t="e">
        <f t="shared" si="2"/>
        <v>#VALUE!</v>
      </c>
      <c r="N37" s="106">
        <f>IF('Dash Board'!$C$17="Error Pls Fill in the Details",0,IFERROR((G37*M37),""))</f>
        <v>0</v>
      </c>
      <c r="O37" s="82" t="str">
        <f>IFERROR(VLOOKUP(B37,'Product Master'!$A:$J,7,FALSE),"")</f>
        <v/>
      </c>
    </row>
    <row r="38" spans="1:15" ht="27" customHeight="1" x14ac:dyDescent="0.5">
      <c r="A38" s="72">
        <v>14</v>
      </c>
      <c r="B38" s="95"/>
      <c r="C38" s="76" t="str">
        <f>IFERROR(VLOOKUP(B38,'Product Master'!$A:$J,2,FALSE),"")</f>
        <v/>
      </c>
      <c r="D38" s="77" t="str">
        <f>IFERROR(VLOOKUP(B38,'Product Master'!$A:$J,3,FALSE),"")</f>
        <v/>
      </c>
      <c r="E38" s="76" t="str">
        <f>IFERROR(VLOOKUP(B38,'Product Master'!$A:$J,6,FALSE),"")</f>
        <v/>
      </c>
      <c r="F38" s="77" t="str">
        <f>IFERROR(VLOOKUP(B38,'Product Master'!$A:$J,4,FALSE),"")</f>
        <v/>
      </c>
      <c r="G38" s="51"/>
      <c r="H38" s="77" t="str">
        <f>IFERROR(VLOOKUP(B38,'Product Master'!$A:$J,8,FALSE),"")</f>
        <v/>
      </c>
      <c r="I38" s="93" t="str">
        <f>IFERROR(VLOOKUP(B38,'Product Master'!$A:$J,5,FALSE),"")</f>
        <v/>
      </c>
      <c r="J38" s="78"/>
      <c r="K38" s="79" t="str">
        <f t="shared" si="0"/>
        <v/>
      </c>
      <c r="L38" s="80" t="str">
        <f t="shared" si="1"/>
        <v/>
      </c>
      <c r="M38" s="81" t="e">
        <f t="shared" si="2"/>
        <v>#VALUE!</v>
      </c>
      <c r="N38" s="106">
        <f>IF('Dash Board'!$C$17="Error Pls Fill in the Details",0,IFERROR((G38*M38),""))</f>
        <v>0</v>
      </c>
      <c r="O38" s="82" t="str">
        <f>IFERROR(VLOOKUP(B38,'Product Master'!$A:$J,7,FALSE),"")</f>
        <v/>
      </c>
    </row>
    <row r="39" spans="1:15" ht="27" customHeight="1" x14ac:dyDescent="0.5">
      <c r="A39" s="72">
        <v>15</v>
      </c>
      <c r="B39" s="95"/>
      <c r="C39" s="76" t="str">
        <f>IFERROR(VLOOKUP(B39,'Product Master'!$A:$J,2,FALSE),"")</f>
        <v/>
      </c>
      <c r="D39" s="77" t="str">
        <f>IFERROR(VLOOKUP(B39,'Product Master'!$A:$J,3,FALSE),"")</f>
        <v/>
      </c>
      <c r="E39" s="76" t="str">
        <f>IFERROR(VLOOKUP(B39,'Product Master'!$A:$J,6,FALSE),"")</f>
        <v/>
      </c>
      <c r="F39" s="77" t="str">
        <f>IFERROR(VLOOKUP(B39,'Product Master'!$A:$J,4,FALSE),"")</f>
        <v/>
      </c>
      <c r="G39" s="51"/>
      <c r="H39" s="77" t="str">
        <f>IFERROR(VLOOKUP(B39,'Product Master'!$A:$J,8,FALSE),"")</f>
        <v/>
      </c>
      <c r="I39" s="93" t="str">
        <f>IFERROR(VLOOKUP(B39,'Product Master'!$A:$J,5,FALSE),"")</f>
        <v/>
      </c>
      <c r="J39" s="78"/>
      <c r="K39" s="79" t="str">
        <f t="shared" si="0"/>
        <v/>
      </c>
      <c r="L39" s="80" t="str">
        <f t="shared" si="1"/>
        <v/>
      </c>
      <c r="M39" s="81" t="e">
        <f t="shared" si="2"/>
        <v>#VALUE!</v>
      </c>
      <c r="N39" s="106">
        <f>IF('Dash Board'!$C$17="Error Pls Fill in the Details",0,IFERROR((G39*M39),""))</f>
        <v>0</v>
      </c>
      <c r="O39" s="82" t="str">
        <f>IFERROR(VLOOKUP(B39,'Product Master'!$A:$J,7,FALSE),"")</f>
        <v/>
      </c>
    </row>
    <row r="40" spans="1:15" ht="27" customHeight="1" x14ac:dyDescent="0.5">
      <c r="A40" s="72">
        <v>16</v>
      </c>
      <c r="B40" s="95"/>
      <c r="C40" s="76" t="str">
        <f>IFERROR(VLOOKUP(B40,'Product Master'!$A:$J,2,FALSE),"")</f>
        <v/>
      </c>
      <c r="D40" s="77" t="str">
        <f>IFERROR(VLOOKUP(B40,'Product Master'!$A:$J,3,FALSE),"")</f>
        <v/>
      </c>
      <c r="E40" s="76" t="str">
        <f>IFERROR(VLOOKUP(B40,'Product Master'!$A:$J,6,FALSE),"")</f>
        <v/>
      </c>
      <c r="F40" s="77" t="str">
        <f>IFERROR(VLOOKUP(B40,'Product Master'!$A:$J,4,FALSE),"")</f>
        <v/>
      </c>
      <c r="G40" s="51"/>
      <c r="H40" s="77" t="str">
        <f>IFERROR(VLOOKUP(B40,'Product Master'!$A:$J,8,FALSE),"")</f>
        <v/>
      </c>
      <c r="I40" s="93" t="str">
        <f>IFERROR(VLOOKUP(B40,'Product Master'!$A:$J,5,FALSE),"")</f>
        <v/>
      </c>
      <c r="J40" s="78"/>
      <c r="K40" s="79" t="str">
        <f t="shared" si="0"/>
        <v/>
      </c>
      <c r="L40" s="80" t="str">
        <f t="shared" si="1"/>
        <v/>
      </c>
      <c r="M40" s="81" t="e">
        <f t="shared" si="2"/>
        <v>#VALUE!</v>
      </c>
      <c r="N40" s="106">
        <f>IF('Dash Board'!$C$17="Error Pls Fill in the Details",0,IFERROR((G40*M40),""))</f>
        <v>0</v>
      </c>
      <c r="O40" s="82" t="str">
        <f>IFERROR(VLOOKUP(B40,'Product Master'!$A:$J,7,FALSE),"")</f>
        <v/>
      </c>
    </row>
    <row r="41" spans="1:15" ht="27" customHeight="1" x14ac:dyDescent="0.5">
      <c r="A41" s="72">
        <v>17</v>
      </c>
      <c r="B41" s="95"/>
      <c r="C41" s="76" t="str">
        <f>IFERROR(VLOOKUP(B41,'Product Master'!$A:$J,2,FALSE),"")</f>
        <v/>
      </c>
      <c r="D41" s="77" t="str">
        <f>IFERROR(VLOOKUP(B41,'Product Master'!$A:$J,3,FALSE),"")</f>
        <v/>
      </c>
      <c r="E41" s="76" t="str">
        <f>IFERROR(VLOOKUP(B41,'Product Master'!$A:$J,6,FALSE),"")</f>
        <v/>
      </c>
      <c r="F41" s="77" t="str">
        <f>IFERROR(VLOOKUP(B41,'Product Master'!$A:$J,4,FALSE),"")</f>
        <v/>
      </c>
      <c r="G41" s="51"/>
      <c r="H41" s="77" t="str">
        <f>IFERROR(VLOOKUP(B41,'Product Master'!$A:$J,8,FALSE),"")</f>
        <v/>
      </c>
      <c r="I41" s="93" t="str">
        <f>IFERROR(VLOOKUP(B41,'Product Master'!$A:$J,5,FALSE),"")</f>
        <v/>
      </c>
      <c r="J41" s="78"/>
      <c r="K41" s="79" t="str">
        <f t="shared" si="0"/>
        <v/>
      </c>
      <c r="L41" s="80" t="str">
        <f t="shared" si="1"/>
        <v/>
      </c>
      <c r="M41" s="81" t="e">
        <f t="shared" si="2"/>
        <v>#VALUE!</v>
      </c>
      <c r="N41" s="106">
        <f>IF('Dash Board'!$C$17="Error Pls Fill in the Details",0,IFERROR((G41*M41),""))</f>
        <v>0</v>
      </c>
      <c r="O41" s="82" t="str">
        <f>IFERROR(VLOOKUP(B41,'Product Master'!$A:$J,7,FALSE),"")</f>
        <v/>
      </c>
    </row>
    <row r="42" spans="1:15" ht="27" customHeight="1" x14ac:dyDescent="0.5">
      <c r="A42" s="72">
        <v>18</v>
      </c>
      <c r="B42" s="95"/>
      <c r="C42" s="76" t="str">
        <f>IFERROR(VLOOKUP(B42,'Product Master'!$A:$J,2,FALSE),"")</f>
        <v/>
      </c>
      <c r="D42" s="77" t="str">
        <f>IFERROR(VLOOKUP(B42,'Product Master'!$A:$J,3,FALSE),"")</f>
        <v/>
      </c>
      <c r="E42" s="76" t="str">
        <f>IFERROR(VLOOKUP(B42,'Product Master'!$A:$J,6,FALSE),"")</f>
        <v/>
      </c>
      <c r="F42" s="77" t="str">
        <f>IFERROR(VLOOKUP(B42,'Product Master'!$A:$J,4,FALSE),"")</f>
        <v/>
      </c>
      <c r="G42" s="51"/>
      <c r="H42" s="77" t="str">
        <f>IFERROR(VLOOKUP(B42,'Product Master'!$A:$J,8,FALSE),"")</f>
        <v/>
      </c>
      <c r="I42" s="93" t="str">
        <f>IFERROR(VLOOKUP(B42,'Product Master'!$A:$J,5,FALSE),"")</f>
        <v/>
      </c>
      <c r="J42" s="78"/>
      <c r="K42" s="79" t="str">
        <f t="shared" si="0"/>
        <v/>
      </c>
      <c r="L42" s="80" t="str">
        <f t="shared" si="1"/>
        <v/>
      </c>
      <c r="M42" s="81" t="e">
        <f t="shared" si="2"/>
        <v>#VALUE!</v>
      </c>
      <c r="N42" s="106">
        <f>IF('Dash Board'!$C$17="Error Pls Fill in the Details",0,IFERROR((G42*M42),""))</f>
        <v>0</v>
      </c>
      <c r="O42" s="82" t="str">
        <f>IFERROR(VLOOKUP(B42,'Product Master'!$A:$J,7,FALSE),"")</f>
        <v/>
      </c>
    </row>
    <row r="43" spans="1:15" ht="27" customHeight="1" x14ac:dyDescent="0.5">
      <c r="A43" s="72">
        <v>19</v>
      </c>
      <c r="B43" s="95"/>
      <c r="C43" s="76" t="str">
        <f>IFERROR(VLOOKUP(B43,'Product Master'!$A:$J,2,FALSE),"")</f>
        <v/>
      </c>
      <c r="D43" s="77" t="str">
        <f>IFERROR(VLOOKUP(B43,'Product Master'!$A:$J,3,FALSE),"")</f>
        <v/>
      </c>
      <c r="E43" s="76" t="str">
        <f>IFERROR(VLOOKUP(B43,'Product Master'!$A:$J,6,FALSE),"")</f>
        <v/>
      </c>
      <c r="F43" s="77" t="str">
        <f>IFERROR(VLOOKUP(B43,'Product Master'!$A:$J,4,FALSE),"")</f>
        <v/>
      </c>
      <c r="G43" s="51"/>
      <c r="H43" s="77" t="str">
        <f>IFERROR(VLOOKUP(B43,'Product Master'!$A:$J,8,FALSE),"")</f>
        <v/>
      </c>
      <c r="I43" s="93" t="str">
        <f>IFERROR(VLOOKUP(B43,'Product Master'!$A:$J,5,FALSE),"")</f>
        <v/>
      </c>
      <c r="J43" s="78"/>
      <c r="K43" s="79" t="str">
        <f t="shared" si="0"/>
        <v/>
      </c>
      <c r="L43" s="80" t="str">
        <f t="shared" si="1"/>
        <v/>
      </c>
      <c r="M43" s="81" t="e">
        <f t="shared" si="2"/>
        <v>#VALUE!</v>
      </c>
      <c r="N43" s="106">
        <f>IF('Dash Board'!$C$17="Error Pls Fill in the Details",0,IFERROR((G43*M43),""))</f>
        <v>0</v>
      </c>
      <c r="O43" s="82" t="str">
        <f>IFERROR(VLOOKUP(B43,'Product Master'!$A:$J,7,FALSE),"")</f>
        <v/>
      </c>
    </row>
    <row r="44" spans="1:15" ht="27" customHeight="1" x14ac:dyDescent="0.5">
      <c r="A44" s="72">
        <v>20</v>
      </c>
      <c r="B44" s="95"/>
      <c r="C44" s="76" t="str">
        <f>IFERROR(VLOOKUP(B44,'Product Master'!$A:$J,2,FALSE),"")</f>
        <v/>
      </c>
      <c r="D44" s="77" t="str">
        <f>IFERROR(VLOOKUP(B44,'Product Master'!$A:$J,3,FALSE),"")</f>
        <v/>
      </c>
      <c r="E44" s="76" t="str">
        <f>IFERROR(VLOOKUP(B44,'Product Master'!$A:$J,6,FALSE),"")</f>
        <v/>
      </c>
      <c r="F44" s="77" t="str">
        <f>IFERROR(VLOOKUP(B44,'Product Master'!$A:$J,4,FALSE),"")</f>
        <v/>
      </c>
      <c r="G44" s="51"/>
      <c r="H44" s="77" t="str">
        <f>IFERROR(VLOOKUP(B44,'Product Master'!$A:$J,8,FALSE),"")</f>
        <v/>
      </c>
      <c r="I44" s="93" t="str">
        <f>IFERROR(VLOOKUP(B44,'Product Master'!$A:$J,5,FALSE),"")</f>
        <v/>
      </c>
      <c r="J44" s="78"/>
      <c r="K44" s="79" t="str">
        <f t="shared" si="0"/>
        <v/>
      </c>
      <c r="L44" s="80" t="str">
        <f t="shared" si="1"/>
        <v/>
      </c>
      <c r="M44" s="81" t="e">
        <f t="shared" si="2"/>
        <v>#VALUE!</v>
      </c>
      <c r="N44" s="106">
        <f>IF('Dash Board'!$C$17="Error Pls Fill in the Details",0,IFERROR((G44*M44),""))</f>
        <v>0</v>
      </c>
      <c r="O44" s="82" t="str">
        <f>IFERROR(VLOOKUP(B44,'Product Master'!$A:$J,7,FALSE),"")</f>
        <v/>
      </c>
    </row>
    <row r="45" spans="1:15" ht="27" customHeight="1" x14ac:dyDescent="0.5">
      <c r="A45" s="72">
        <v>21</v>
      </c>
      <c r="B45" s="95"/>
      <c r="C45" s="76" t="str">
        <f>IFERROR(VLOOKUP(B45,'Product Master'!$A:$J,2,FALSE),"")</f>
        <v/>
      </c>
      <c r="D45" s="77" t="str">
        <f>IFERROR(VLOOKUP(B45,'Product Master'!$A:$J,3,FALSE),"")</f>
        <v/>
      </c>
      <c r="E45" s="76" t="str">
        <f>IFERROR(VLOOKUP(B45,'Product Master'!$A:$J,6,FALSE),"")</f>
        <v/>
      </c>
      <c r="F45" s="77" t="str">
        <f>IFERROR(VLOOKUP(B45,'Product Master'!$A:$J,4,FALSE),"")</f>
        <v/>
      </c>
      <c r="G45" s="51"/>
      <c r="H45" s="77" t="str">
        <f>IFERROR(VLOOKUP(B45,'Product Master'!$A:$J,8,FALSE),"")</f>
        <v/>
      </c>
      <c r="I45" s="93" t="str">
        <f>IFERROR(VLOOKUP(B45,'Product Master'!$A:$J,5,FALSE),"")</f>
        <v/>
      </c>
      <c r="J45" s="78"/>
      <c r="K45" s="79" t="str">
        <f t="shared" si="0"/>
        <v/>
      </c>
      <c r="L45" s="80" t="str">
        <f t="shared" si="1"/>
        <v/>
      </c>
      <c r="M45" s="81" t="e">
        <f t="shared" si="2"/>
        <v>#VALUE!</v>
      </c>
      <c r="N45" s="106">
        <f>IF('Dash Board'!$C$17="Error Pls Fill in the Details",0,IFERROR((G45*M45),""))</f>
        <v>0</v>
      </c>
      <c r="O45" s="82" t="str">
        <f>IFERROR(VLOOKUP(B45,'Product Master'!$A:$J,7,FALSE),"")</f>
        <v/>
      </c>
    </row>
    <row r="46" spans="1:15" ht="27" customHeight="1" x14ac:dyDescent="0.5">
      <c r="A46" s="72">
        <v>22</v>
      </c>
      <c r="B46" s="95"/>
      <c r="C46" s="76" t="str">
        <f>IFERROR(VLOOKUP(B46,'Product Master'!$A:$J,2,FALSE),"")</f>
        <v/>
      </c>
      <c r="D46" s="77" t="str">
        <f>IFERROR(VLOOKUP(B46,'Product Master'!$A:$J,3,FALSE),"")</f>
        <v/>
      </c>
      <c r="E46" s="76" t="str">
        <f>IFERROR(VLOOKUP(B46,'Product Master'!$A:$J,6,FALSE),"")</f>
        <v/>
      </c>
      <c r="F46" s="77" t="str">
        <f>IFERROR(VLOOKUP(B46,'Product Master'!$A:$J,4,FALSE),"")</f>
        <v/>
      </c>
      <c r="G46" s="51"/>
      <c r="H46" s="77" t="str">
        <f>IFERROR(VLOOKUP(B46,'Product Master'!$A:$J,8,FALSE),"")</f>
        <v/>
      </c>
      <c r="I46" s="93" t="str">
        <f>IFERROR(VLOOKUP(B46,'Product Master'!$A:$J,5,FALSE),"")</f>
        <v/>
      </c>
      <c r="J46" s="78"/>
      <c r="K46" s="79" t="str">
        <f t="shared" si="0"/>
        <v/>
      </c>
      <c r="L46" s="80" t="str">
        <f t="shared" si="1"/>
        <v/>
      </c>
      <c r="M46" s="81" t="e">
        <f t="shared" si="2"/>
        <v>#VALUE!</v>
      </c>
      <c r="N46" s="106">
        <f>IF('Dash Board'!$C$17="Error Pls Fill in the Details",0,IFERROR((G46*M46),""))</f>
        <v>0</v>
      </c>
      <c r="O46" s="82" t="str">
        <f>IFERROR(VLOOKUP(B46,'Product Master'!$A:$J,7,FALSE),"")</f>
        <v/>
      </c>
    </row>
    <row r="47" spans="1:15" ht="27" customHeight="1" x14ac:dyDescent="0.5">
      <c r="A47" s="72">
        <v>23</v>
      </c>
      <c r="B47" s="95"/>
      <c r="C47" s="76" t="str">
        <f>IFERROR(VLOOKUP(B47,'Product Master'!$A:$J,2,FALSE),"")</f>
        <v/>
      </c>
      <c r="D47" s="77" t="str">
        <f>IFERROR(VLOOKUP(B47,'Product Master'!$A:$J,3,FALSE),"")</f>
        <v/>
      </c>
      <c r="E47" s="76" t="str">
        <f>IFERROR(VLOOKUP(B47,'Product Master'!$A:$J,6,FALSE),"")</f>
        <v/>
      </c>
      <c r="F47" s="77" t="str">
        <f>IFERROR(VLOOKUP(B47,'Product Master'!$A:$J,4,FALSE),"")</f>
        <v/>
      </c>
      <c r="G47" s="51"/>
      <c r="H47" s="77" t="str">
        <f>IFERROR(VLOOKUP(B47,'Product Master'!$A:$J,8,FALSE),"")</f>
        <v/>
      </c>
      <c r="I47" s="93" t="str">
        <f>IFERROR(VLOOKUP(B47,'Product Master'!$A:$J,5,FALSE),"")</f>
        <v/>
      </c>
      <c r="J47" s="78"/>
      <c r="K47" s="79" t="str">
        <f t="shared" si="0"/>
        <v/>
      </c>
      <c r="L47" s="80" t="str">
        <f t="shared" si="1"/>
        <v/>
      </c>
      <c r="M47" s="81" t="e">
        <f t="shared" si="2"/>
        <v>#VALUE!</v>
      </c>
      <c r="N47" s="106">
        <f>IF('Dash Board'!$C$17="Error Pls Fill in the Details",0,IFERROR((G47*M47),""))</f>
        <v>0</v>
      </c>
      <c r="O47" s="82" t="str">
        <f>IFERROR(VLOOKUP(B47,'Product Master'!$A:$J,7,FALSE),"")</f>
        <v/>
      </c>
    </row>
    <row r="48" spans="1:15" ht="27" customHeight="1" x14ac:dyDescent="0.5">
      <c r="A48" s="72">
        <v>24</v>
      </c>
      <c r="B48" s="95"/>
      <c r="C48" s="76" t="str">
        <f>IFERROR(VLOOKUP(B48,'Product Master'!$A:$J,2,FALSE),"")</f>
        <v/>
      </c>
      <c r="D48" s="77" t="str">
        <f>IFERROR(VLOOKUP(B48,'Product Master'!$A:$J,3,FALSE),"")</f>
        <v/>
      </c>
      <c r="E48" s="76" t="str">
        <f>IFERROR(VLOOKUP(B48,'Product Master'!$A:$J,6,FALSE),"")</f>
        <v/>
      </c>
      <c r="F48" s="77" t="str">
        <f>IFERROR(VLOOKUP(B48,'Product Master'!$A:$J,4,FALSE),"")</f>
        <v/>
      </c>
      <c r="G48" s="51"/>
      <c r="H48" s="77" t="str">
        <f>IFERROR(VLOOKUP(B48,'Product Master'!$A:$J,8,FALSE),"")</f>
        <v/>
      </c>
      <c r="I48" s="93" t="str">
        <f>IFERROR(VLOOKUP(B48,'Product Master'!$A:$J,5,FALSE),"")</f>
        <v/>
      </c>
      <c r="J48" s="78"/>
      <c r="K48" s="79" t="str">
        <f t="shared" si="0"/>
        <v/>
      </c>
      <c r="L48" s="80" t="str">
        <f t="shared" si="1"/>
        <v/>
      </c>
      <c r="M48" s="81" t="e">
        <f t="shared" si="2"/>
        <v>#VALUE!</v>
      </c>
      <c r="N48" s="106">
        <f>IF('Dash Board'!$C$17="Error Pls Fill in the Details",0,IFERROR((G48*M48),""))</f>
        <v>0</v>
      </c>
      <c r="O48" s="82" t="str">
        <f>IFERROR(VLOOKUP(B48,'Product Master'!$A:$J,7,FALSE),"")</f>
        <v/>
      </c>
    </row>
    <row r="49" spans="1:15" ht="27" customHeight="1" x14ac:dyDescent="0.5">
      <c r="A49" s="72">
        <v>25</v>
      </c>
      <c r="B49" s="95"/>
      <c r="C49" s="76" t="str">
        <f>IFERROR(VLOOKUP(B49,'Product Master'!$A:$J,2,FALSE),"")</f>
        <v/>
      </c>
      <c r="D49" s="77" t="str">
        <f>IFERROR(VLOOKUP(B49,'Product Master'!$A:$J,3,FALSE),"")</f>
        <v/>
      </c>
      <c r="E49" s="76" t="str">
        <f>IFERROR(VLOOKUP(B49,'Product Master'!$A:$J,6,FALSE),"")</f>
        <v/>
      </c>
      <c r="F49" s="77" t="str">
        <f>IFERROR(VLOOKUP(B49,'Product Master'!$A:$J,4,FALSE),"")</f>
        <v/>
      </c>
      <c r="G49" s="51"/>
      <c r="H49" s="77" t="str">
        <f>IFERROR(VLOOKUP(B49,'Product Master'!$A:$J,8,FALSE),"")</f>
        <v/>
      </c>
      <c r="I49" s="93" t="str">
        <f>IFERROR(VLOOKUP(B49,'Product Master'!$A:$J,5,FALSE),"")</f>
        <v/>
      </c>
      <c r="J49" s="78"/>
      <c r="K49" s="79" t="str">
        <f t="shared" si="0"/>
        <v/>
      </c>
      <c r="L49" s="80" t="str">
        <f t="shared" si="1"/>
        <v/>
      </c>
      <c r="M49" s="81" t="e">
        <f t="shared" si="2"/>
        <v>#VALUE!</v>
      </c>
      <c r="N49" s="106">
        <f>IF('Dash Board'!$C$17="Error Pls Fill in the Details",0,IFERROR((G49*M49),""))</f>
        <v>0</v>
      </c>
      <c r="O49" s="82" t="str">
        <f>IFERROR(VLOOKUP(B49,'Product Master'!$A:$J,7,FALSE),"")</f>
        <v/>
      </c>
    </row>
    <row r="50" spans="1:15" ht="27" customHeight="1" x14ac:dyDescent="0.5">
      <c r="A50" s="72">
        <v>26</v>
      </c>
      <c r="B50" s="95"/>
      <c r="C50" s="76" t="str">
        <f>IFERROR(VLOOKUP(B50,'Product Master'!$A:$J,2,FALSE),"")</f>
        <v/>
      </c>
      <c r="D50" s="77" t="str">
        <f>IFERROR(VLOOKUP(B50,'Product Master'!$A:$J,3,FALSE),"")</f>
        <v/>
      </c>
      <c r="E50" s="76" t="str">
        <f>IFERROR(VLOOKUP(B50,'Product Master'!$A:$J,6,FALSE),"")</f>
        <v/>
      </c>
      <c r="F50" s="77" t="str">
        <f>IFERROR(VLOOKUP(B50,'Product Master'!$A:$J,4,FALSE),"")</f>
        <v/>
      </c>
      <c r="G50" s="51"/>
      <c r="H50" s="77" t="str">
        <f>IFERROR(VLOOKUP(B50,'Product Master'!$A:$J,8,FALSE),"")</f>
        <v/>
      </c>
      <c r="I50" s="93" t="str">
        <f>IFERROR(VLOOKUP(B50,'Product Master'!$A:$J,5,FALSE),"")</f>
        <v/>
      </c>
      <c r="J50" s="78"/>
      <c r="K50" s="79" t="str">
        <f t="shared" si="0"/>
        <v/>
      </c>
      <c r="L50" s="80" t="str">
        <f t="shared" si="1"/>
        <v/>
      </c>
      <c r="M50" s="81" t="e">
        <f t="shared" si="2"/>
        <v>#VALUE!</v>
      </c>
      <c r="N50" s="106">
        <f>IF('Dash Board'!$C$17="Error Pls Fill in the Details",0,IFERROR((G50*M50),""))</f>
        <v>0</v>
      </c>
      <c r="O50" s="82" t="str">
        <f>IFERROR(VLOOKUP(B50,'Product Master'!$A:$J,7,FALSE),"")</f>
        <v/>
      </c>
    </row>
    <row r="51" spans="1:15" ht="27" customHeight="1" x14ac:dyDescent="0.5">
      <c r="A51" s="72">
        <v>27</v>
      </c>
      <c r="B51" s="95"/>
      <c r="C51" s="76" t="str">
        <f>IFERROR(VLOOKUP(B51,'Product Master'!$A:$J,2,FALSE),"")</f>
        <v/>
      </c>
      <c r="D51" s="77" t="str">
        <f>IFERROR(VLOOKUP(B51,'Product Master'!$A:$J,3,FALSE),"")</f>
        <v/>
      </c>
      <c r="E51" s="76" t="str">
        <f>IFERROR(VLOOKUP(B51,'Product Master'!$A:$J,6,FALSE),"")</f>
        <v/>
      </c>
      <c r="F51" s="77" t="str">
        <f>IFERROR(VLOOKUP(B51,'Product Master'!$A:$J,4,FALSE),"")</f>
        <v/>
      </c>
      <c r="G51" s="51"/>
      <c r="H51" s="77" t="str">
        <f>IFERROR(VLOOKUP(B51,'Product Master'!$A:$J,8,FALSE),"")</f>
        <v/>
      </c>
      <c r="I51" s="93" t="str">
        <f>IFERROR(VLOOKUP(B51,'Product Master'!$A:$J,5,FALSE),"")</f>
        <v/>
      </c>
      <c r="J51" s="78"/>
      <c r="K51" s="79" t="str">
        <f t="shared" si="0"/>
        <v/>
      </c>
      <c r="L51" s="80" t="str">
        <f t="shared" si="1"/>
        <v/>
      </c>
      <c r="M51" s="81" t="e">
        <f t="shared" si="2"/>
        <v>#VALUE!</v>
      </c>
      <c r="N51" s="106">
        <f>IF('Dash Board'!$C$17="Error Pls Fill in the Details",0,IFERROR((G51*M51),""))</f>
        <v>0</v>
      </c>
      <c r="O51" s="82" t="str">
        <f>IFERROR(VLOOKUP(B51,'Product Master'!$A:$J,7,FALSE),"")</f>
        <v/>
      </c>
    </row>
    <row r="52" spans="1:15" ht="27" customHeight="1" x14ac:dyDescent="0.5">
      <c r="A52" s="72">
        <v>28</v>
      </c>
      <c r="B52" s="95"/>
      <c r="C52" s="76" t="str">
        <f>IFERROR(VLOOKUP(B52,'Product Master'!$A:$J,2,FALSE),"")</f>
        <v/>
      </c>
      <c r="D52" s="77" t="str">
        <f>IFERROR(VLOOKUP(B52,'Product Master'!$A:$J,3,FALSE),"")</f>
        <v/>
      </c>
      <c r="E52" s="76" t="str">
        <f>IFERROR(VLOOKUP(B52,'Product Master'!$A:$J,6,FALSE),"")</f>
        <v/>
      </c>
      <c r="F52" s="77" t="str">
        <f>IFERROR(VLOOKUP(B52,'Product Master'!$A:$J,4,FALSE),"")</f>
        <v/>
      </c>
      <c r="G52" s="51"/>
      <c r="H52" s="77" t="str">
        <f>IFERROR(VLOOKUP(B52,'Product Master'!$A:$J,8,FALSE),"")</f>
        <v/>
      </c>
      <c r="I52" s="93" t="str">
        <f>IFERROR(VLOOKUP(B52,'Product Master'!$A:$J,5,FALSE),"")</f>
        <v/>
      </c>
      <c r="J52" s="78"/>
      <c r="K52" s="79" t="str">
        <f t="shared" si="0"/>
        <v/>
      </c>
      <c r="L52" s="80" t="str">
        <f t="shared" si="1"/>
        <v/>
      </c>
      <c r="M52" s="81" t="e">
        <f t="shared" si="2"/>
        <v>#VALUE!</v>
      </c>
      <c r="N52" s="106">
        <f>IF('Dash Board'!$C$17="Error Pls Fill in the Details",0,IFERROR((G52*M52),""))</f>
        <v>0</v>
      </c>
      <c r="O52" s="82" t="str">
        <f>IFERROR(VLOOKUP(B52,'Product Master'!$A:$J,7,FALSE),"")</f>
        <v/>
      </c>
    </row>
    <row r="53" spans="1:15" ht="27" customHeight="1" x14ac:dyDescent="0.5">
      <c r="A53" s="72">
        <v>29</v>
      </c>
      <c r="B53" s="95"/>
      <c r="C53" s="76" t="str">
        <f>IFERROR(VLOOKUP(B53,'Product Master'!$A:$J,2,FALSE),"")</f>
        <v/>
      </c>
      <c r="D53" s="77" t="str">
        <f>IFERROR(VLOOKUP(B53,'Product Master'!$A:$J,3,FALSE),"")</f>
        <v/>
      </c>
      <c r="E53" s="76" t="str">
        <f>IFERROR(VLOOKUP(B53,'Product Master'!$A:$J,6,FALSE),"")</f>
        <v/>
      </c>
      <c r="F53" s="77" t="str">
        <f>IFERROR(VLOOKUP(B53,'Product Master'!$A:$J,4,FALSE),"")</f>
        <v/>
      </c>
      <c r="G53" s="51"/>
      <c r="H53" s="77" t="str">
        <f>IFERROR(VLOOKUP(B53,'Product Master'!$A:$J,8,FALSE),"")</f>
        <v/>
      </c>
      <c r="I53" s="93" t="str">
        <f>IFERROR(VLOOKUP(B53,'Product Master'!$A:$J,5,FALSE),"")</f>
        <v/>
      </c>
      <c r="J53" s="78"/>
      <c r="K53" s="79" t="str">
        <f t="shared" si="0"/>
        <v/>
      </c>
      <c r="L53" s="80" t="str">
        <f t="shared" si="1"/>
        <v/>
      </c>
      <c r="M53" s="81" t="e">
        <f t="shared" si="2"/>
        <v>#VALUE!</v>
      </c>
      <c r="N53" s="106">
        <f>IF('Dash Board'!$C$17="Error Pls Fill in the Details",0,IFERROR((G53*M53),""))</f>
        <v>0</v>
      </c>
      <c r="O53" s="82" t="str">
        <f>IFERROR(VLOOKUP(B53,'Product Master'!$A:$J,7,FALSE),"")</f>
        <v/>
      </c>
    </row>
    <row r="54" spans="1:15" ht="27" customHeight="1" x14ac:dyDescent="0.5">
      <c r="A54" s="72">
        <v>30</v>
      </c>
      <c r="B54" s="95"/>
      <c r="C54" s="76" t="str">
        <f>IFERROR(VLOOKUP(B54,'Product Master'!$A:$J,2,FALSE),"")</f>
        <v/>
      </c>
      <c r="D54" s="77" t="str">
        <f>IFERROR(VLOOKUP(B54,'Product Master'!$A:$J,3,FALSE),"")</f>
        <v/>
      </c>
      <c r="E54" s="76" t="str">
        <f>IFERROR(VLOOKUP(B54,'Product Master'!$A:$J,6,FALSE),"")</f>
        <v/>
      </c>
      <c r="F54" s="77" t="str">
        <f>IFERROR(VLOOKUP(B54,'Product Master'!$A:$J,4,FALSE),"")</f>
        <v/>
      </c>
      <c r="G54" s="51"/>
      <c r="H54" s="77" t="str">
        <f>IFERROR(VLOOKUP(B54,'Product Master'!$A:$J,8,FALSE),"")</f>
        <v/>
      </c>
      <c r="I54" s="93" t="str">
        <f>IFERROR(VLOOKUP(B54,'Product Master'!$A:$J,5,FALSE),"")</f>
        <v/>
      </c>
      <c r="J54" s="78"/>
      <c r="K54" s="79" t="str">
        <f t="shared" si="0"/>
        <v/>
      </c>
      <c r="L54" s="80" t="str">
        <f t="shared" si="1"/>
        <v/>
      </c>
      <c r="M54" s="81" t="e">
        <f t="shared" si="2"/>
        <v>#VALUE!</v>
      </c>
      <c r="N54" s="106">
        <f>IF('Dash Board'!$C$17="Error Pls Fill in the Details",0,IFERROR((G54*M54),""))</f>
        <v>0</v>
      </c>
      <c r="O54" s="82" t="str">
        <f>IFERROR(VLOOKUP(B54,'Product Master'!$A:$J,7,FALSE),"")</f>
        <v/>
      </c>
    </row>
    <row r="55" spans="1:15" ht="27" customHeight="1" x14ac:dyDescent="0.5">
      <c r="A55" s="72">
        <v>31</v>
      </c>
      <c r="B55" s="95"/>
      <c r="C55" s="76" t="str">
        <f>IFERROR(VLOOKUP(B55,'Product Master'!$A:$J,2,FALSE),"")</f>
        <v/>
      </c>
      <c r="D55" s="77" t="str">
        <f>IFERROR(VLOOKUP(B55,'Product Master'!$A:$J,3,FALSE),"")</f>
        <v/>
      </c>
      <c r="E55" s="76" t="str">
        <f>IFERROR(VLOOKUP(B55,'Product Master'!$A:$J,6,FALSE),"")</f>
        <v/>
      </c>
      <c r="F55" s="77" t="str">
        <f>IFERROR(VLOOKUP(B55,'Product Master'!$A:$J,4,FALSE),"")</f>
        <v/>
      </c>
      <c r="G55" s="51"/>
      <c r="H55" s="77" t="str">
        <f>IFERROR(VLOOKUP(B55,'Product Master'!$A:$J,8,FALSE),"")</f>
        <v/>
      </c>
      <c r="I55" s="93" t="str">
        <f>IFERROR(VLOOKUP(B55,'Product Master'!$A:$J,5,FALSE),"")</f>
        <v/>
      </c>
      <c r="J55" s="78"/>
      <c r="K55" s="79" t="str">
        <f t="shared" si="0"/>
        <v/>
      </c>
      <c r="L55" s="80" t="str">
        <f t="shared" si="1"/>
        <v/>
      </c>
      <c r="M55" s="81" t="e">
        <f t="shared" si="2"/>
        <v>#VALUE!</v>
      </c>
      <c r="N55" s="106">
        <f>IF('Dash Board'!$C$17="Error Pls Fill in the Details",0,IFERROR((G55*M55),""))</f>
        <v>0</v>
      </c>
      <c r="O55" s="82" t="str">
        <f>IFERROR(VLOOKUP(B55,'Product Master'!$A:$J,7,FALSE),"")</f>
        <v/>
      </c>
    </row>
    <row r="56" spans="1:15" ht="27" customHeight="1" x14ac:dyDescent="0.5">
      <c r="A56" s="72">
        <v>32</v>
      </c>
      <c r="B56" s="95"/>
      <c r="C56" s="76" t="str">
        <f>IFERROR(VLOOKUP(B56,'Product Master'!$A:$J,2,FALSE),"")</f>
        <v/>
      </c>
      <c r="D56" s="77" t="str">
        <f>IFERROR(VLOOKUP(B56,'Product Master'!$A:$J,3,FALSE),"")</f>
        <v/>
      </c>
      <c r="E56" s="76" t="str">
        <f>IFERROR(VLOOKUP(B56,'Product Master'!$A:$J,6,FALSE),"")</f>
        <v/>
      </c>
      <c r="F56" s="77" t="str">
        <f>IFERROR(VLOOKUP(B56,'Product Master'!$A:$J,4,FALSE),"")</f>
        <v/>
      </c>
      <c r="G56" s="51"/>
      <c r="H56" s="77" t="str">
        <f>IFERROR(VLOOKUP(B56,'Product Master'!$A:$J,8,FALSE),"")</f>
        <v/>
      </c>
      <c r="I56" s="93" t="str">
        <f>IFERROR(VLOOKUP(B56,'Product Master'!$A:$J,5,FALSE),"")</f>
        <v/>
      </c>
      <c r="J56" s="78"/>
      <c r="K56" s="79" t="str">
        <f t="shared" si="0"/>
        <v/>
      </c>
      <c r="L56" s="80" t="str">
        <f t="shared" si="1"/>
        <v/>
      </c>
      <c r="M56" s="81" t="e">
        <f t="shared" si="2"/>
        <v>#VALUE!</v>
      </c>
      <c r="N56" s="106">
        <f>IF('Dash Board'!$C$17="Error Pls Fill in the Details",0,IFERROR((G56*M56),""))</f>
        <v>0</v>
      </c>
      <c r="O56" s="82" t="str">
        <f>IFERROR(VLOOKUP(B56,'Product Master'!$A:$J,7,FALSE),"")</f>
        <v/>
      </c>
    </row>
    <row r="57" spans="1:15" ht="27" customHeight="1" x14ac:dyDescent="0.5">
      <c r="A57" s="72">
        <v>33</v>
      </c>
      <c r="B57" s="95"/>
      <c r="C57" s="76" t="str">
        <f>IFERROR(VLOOKUP(B57,'Product Master'!$A:$J,2,FALSE),"")</f>
        <v/>
      </c>
      <c r="D57" s="77" t="str">
        <f>IFERROR(VLOOKUP(B57,'Product Master'!$A:$J,3,FALSE),"")</f>
        <v/>
      </c>
      <c r="E57" s="76" t="str">
        <f>IFERROR(VLOOKUP(B57,'Product Master'!$A:$J,6,FALSE),"")</f>
        <v/>
      </c>
      <c r="F57" s="77" t="str">
        <f>IFERROR(VLOOKUP(B57,'Product Master'!$A:$J,4,FALSE),"")</f>
        <v/>
      </c>
      <c r="G57" s="51"/>
      <c r="H57" s="77" t="str">
        <f>IFERROR(VLOOKUP(B57,'Product Master'!$A:$J,8,FALSE),"")</f>
        <v/>
      </c>
      <c r="I57" s="93" t="str">
        <f>IFERROR(VLOOKUP(B57,'Product Master'!$A:$J,5,FALSE),"")</f>
        <v/>
      </c>
      <c r="J57" s="78"/>
      <c r="K57" s="79" t="str">
        <f t="shared" si="0"/>
        <v/>
      </c>
      <c r="L57" s="80" t="str">
        <f t="shared" si="1"/>
        <v/>
      </c>
      <c r="M57" s="81" t="e">
        <f t="shared" si="2"/>
        <v>#VALUE!</v>
      </c>
      <c r="N57" s="106">
        <f>IF('Dash Board'!$C$17="Error Pls Fill in the Details",0,IFERROR((G57*M57),""))</f>
        <v>0</v>
      </c>
      <c r="O57" s="82" t="str">
        <f>IFERROR(VLOOKUP(B57,'Product Master'!$A:$J,7,FALSE),"")</f>
        <v/>
      </c>
    </row>
    <row r="58" spans="1:15" ht="27" customHeight="1" x14ac:dyDescent="0.5">
      <c r="A58" s="72">
        <v>34</v>
      </c>
      <c r="B58" s="95"/>
      <c r="C58" s="76" t="str">
        <f>IFERROR(VLOOKUP(B58,'Product Master'!$A:$J,2,FALSE),"")</f>
        <v/>
      </c>
      <c r="D58" s="77" t="str">
        <f>IFERROR(VLOOKUP(B58,'Product Master'!$A:$J,3,FALSE),"")</f>
        <v/>
      </c>
      <c r="E58" s="76" t="str">
        <f>IFERROR(VLOOKUP(B58,'Product Master'!$A:$J,6,FALSE),"")</f>
        <v/>
      </c>
      <c r="F58" s="77" t="str">
        <f>IFERROR(VLOOKUP(B58,'Product Master'!$A:$J,4,FALSE),"")</f>
        <v/>
      </c>
      <c r="G58" s="51"/>
      <c r="H58" s="77" t="str">
        <f>IFERROR(VLOOKUP(B58,'Product Master'!$A:$J,8,FALSE),"")</f>
        <v/>
      </c>
      <c r="I58" s="93" t="str">
        <f>IFERROR(VLOOKUP(B58,'Product Master'!$A:$J,5,FALSE),"")</f>
        <v/>
      </c>
      <c r="J58" s="78"/>
      <c r="K58" s="79" t="str">
        <f t="shared" si="0"/>
        <v/>
      </c>
      <c r="L58" s="80" t="str">
        <f t="shared" si="1"/>
        <v/>
      </c>
      <c r="M58" s="81" t="e">
        <f t="shared" si="2"/>
        <v>#VALUE!</v>
      </c>
      <c r="N58" s="106">
        <f>IF('Dash Board'!$C$17="Error Pls Fill in the Details",0,IFERROR((G58*M58),""))</f>
        <v>0</v>
      </c>
      <c r="O58" s="82" t="str">
        <f>IFERROR(VLOOKUP(B58,'Product Master'!$A:$J,7,FALSE),"")</f>
        <v/>
      </c>
    </row>
    <row r="59" spans="1:15" ht="27" customHeight="1" x14ac:dyDescent="0.5">
      <c r="A59" s="72">
        <v>35</v>
      </c>
      <c r="B59" s="95"/>
      <c r="C59" s="76" t="str">
        <f>IFERROR(VLOOKUP(B59,'Product Master'!$A:$J,2,FALSE),"")</f>
        <v/>
      </c>
      <c r="D59" s="77" t="str">
        <f>IFERROR(VLOOKUP(B59,'Product Master'!$A:$J,3,FALSE),"")</f>
        <v/>
      </c>
      <c r="E59" s="76" t="str">
        <f>IFERROR(VLOOKUP(B59,'Product Master'!$A:$J,6,FALSE),"")</f>
        <v/>
      </c>
      <c r="F59" s="77" t="str">
        <f>IFERROR(VLOOKUP(B59,'Product Master'!$A:$J,4,FALSE),"")</f>
        <v/>
      </c>
      <c r="G59" s="51"/>
      <c r="H59" s="77" t="str">
        <f>IFERROR(VLOOKUP(B59,'Product Master'!$A:$J,8,FALSE),"")</f>
        <v/>
      </c>
      <c r="I59" s="93" t="str">
        <f>IFERROR(VLOOKUP(B59,'Product Master'!$A:$J,5,FALSE),"")</f>
        <v/>
      </c>
      <c r="J59" s="78"/>
      <c r="K59" s="79" t="str">
        <f t="shared" si="0"/>
        <v/>
      </c>
      <c r="L59" s="80" t="str">
        <f t="shared" si="1"/>
        <v/>
      </c>
      <c r="M59" s="81" t="e">
        <f t="shared" si="2"/>
        <v>#VALUE!</v>
      </c>
      <c r="N59" s="106">
        <f>IF('Dash Board'!$C$17="Error Pls Fill in the Details",0,IFERROR((G59*M59),""))</f>
        <v>0</v>
      </c>
      <c r="O59" s="82" t="str">
        <f>IFERROR(VLOOKUP(B59,'Product Master'!$A:$J,7,FALSE),"")</f>
        <v/>
      </c>
    </row>
    <row r="60" spans="1:15" ht="27" customHeight="1" x14ac:dyDescent="0.5">
      <c r="A60" s="72">
        <v>36</v>
      </c>
      <c r="B60" s="95"/>
      <c r="C60" s="76" t="str">
        <f>IFERROR(VLOOKUP(B60,'Product Master'!$A:$J,2,FALSE),"")</f>
        <v/>
      </c>
      <c r="D60" s="77" t="str">
        <f>IFERROR(VLOOKUP(B60,'Product Master'!$A:$J,3,FALSE),"")</f>
        <v/>
      </c>
      <c r="E60" s="76" t="str">
        <f>IFERROR(VLOOKUP(B60,'Product Master'!$A:$J,6,FALSE),"")</f>
        <v/>
      </c>
      <c r="F60" s="77" t="str">
        <f>IFERROR(VLOOKUP(B60,'Product Master'!$A:$J,4,FALSE),"")</f>
        <v/>
      </c>
      <c r="G60" s="51"/>
      <c r="H60" s="77" t="str">
        <f>IFERROR(VLOOKUP(B60,'Product Master'!$A:$J,8,FALSE),"")</f>
        <v/>
      </c>
      <c r="I60" s="93" t="str">
        <f>IFERROR(VLOOKUP(B60,'Product Master'!$A:$J,5,FALSE),"")</f>
        <v/>
      </c>
      <c r="J60" s="78"/>
      <c r="K60" s="79" t="str">
        <f t="shared" si="0"/>
        <v/>
      </c>
      <c r="L60" s="80" t="str">
        <f t="shared" si="1"/>
        <v/>
      </c>
      <c r="M60" s="81" t="e">
        <f t="shared" si="2"/>
        <v>#VALUE!</v>
      </c>
      <c r="N60" s="106">
        <f>IF('Dash Board'!$C$17="Error Pls Fill in the Details",0,IFERROR((G60*M60),""))</f>
        <v>0</v>
      </c>
      <c r="O60" s="82" t="str">
        <f>IFERROR(VLOOKUP(B60,'Product Master'!$A:$J,7,FALSE),"")</f>
        <v/>
      </c>
    </row>
    <row r="61" spans="1:15" ht="27" customHeight="1" x14ac:dyDescent="0.5">
      <c r="A61" s="72">
        <v>37</v>
      </c>
      <c r="B61" s="95"/>
      <c r="C61" s="76" t="str">
        <f>IFERROR(VLOOKUP(B61,'Product Master'!$A:$J,2,FALSE),"")</f>
        <v/>
      </c>
      <c r="D61" s="77" t="str">
        <f>IFERROR(VLOOKUP(B61,'Product Master'!$A:$J,3,FALSE),"")</f>
        <v/>
      </c>
      <c r="E61" s="76" t="str">
        <f>IFERROR(VLOOKUP(B61,'Product Master'!$A:$J,6,FALSE),"")</f>
        <v/>
      </c>
      <c r="F61" s="77" t="str">
        <f>IFERROR(VLOOKUP(B61,'Product Master'!$A:$J,4,FALSE),"")</f>
        <v/>
      </c>
      <c r="G61" s="51"/>
      <c r="H61" s="77" t="str">
        <f>IFERROR(VLOOKUP(B61,'Product Master'!$A:$J,8,FALSE),"")</f>
        <v/>
      </c>
      <c r="I61" s="93" t="str">
        <f>IFERROR(VLOOKUP(B61,'Product Master'!$A:$J,5,FALSE),"")</f>
        <v/>
      </c>
      <c r="J61" s="78"/>
      <c r="K61" s="79" t="str">
        <f t="shared" si="0"/>
        <v/>
      </c>
      <c r="L61" s="80" t="str">
        <f t="shared" si="1"/>
        <v/>
      </c>
      <c r="M61" s="81" t="e">
        <f t="shared" si="2"/>
        <v>#VALUE!</v>
      </c>
      <c r="N61" s="106">
        <f>IF('Dash Board'!$C$17="Error Pls Fill in the Details",0,IFERROR((G61*M61),""))</f>
        <v>0</v>
      </c>
      <c r="O61" s="82" t="str">
        <f>IFERROR(VLOOKUP(B61,'Product Master'!$A:$J,7,FALSE),"")</f>
        <v/>
      </c>
    </row>
    <row r="62" spans="1:15" ht="27" customHeight="1" x14ac:dyDescent="0.5">
      <c r="A62" s="72">
        <v>38</v>
      </c>
      <c r="B62" s="95"/>
      <c r="C62" s="76" t="str">
        <f>IFERROR(VLOOKUP(B62,'Product Master'!$A:$J,2,FALSE),"")</f>
        <v/>
      </c>
      <c r="D62" s="77" t="str">
        <f>IFERROR(VLOOKUP(B62,'Product Master'!$A:$J,3,FALSE),"")</f>
        <v/>
      </c>
      <c r="E62" s="76" t="str">
        <f>IFERROR(VLOOKUP(B62,'Product Master'!$A:$J,6,FALSE),"")</f>
        <v/>
      </c>
      <c r="F62" s="77" t="str">
        <f>IFERROR(VLOOKUP(B62,'Product Master'!$A:$J,4,FALSE),"")</f>
        <v/>
      </c>
      <c r="G62" s="51"/>
      <c r="H62" s="77" t="str">
        <f>IFERROR(VLOOKUP(B62,'Product Master'!$A:$J,8,FALSE),"")</f>
        <v/>
      </c>
      <c r="I62" s="93" t="str">
        <f>IFERROR(VLOOKUP(B62,'Product Master'!$A:$J,5,FALSE),"")</f>
        <v/>
      </c>
      <c r="J62" s="78"/>
      <c r="K62" s="79" t="str">
        <f t="shared" si="0"/>
        <v/>
      </c>
      <c r="L62" s="80" t="str">
        <f t="shared" si="1"/>
        <v/>
      </c>
      <c r="M62" s="81" t="e">
        <f t="shared" si="2"/>
        <v>#VALUE!</v>
      </c>
      <c r="N62" s="106">
        <f>IF('Dash Board'!$C$17="Error Pls Fill in the Details",0,IFERROR((G62*M62),""))</f>
        <v>0</v>
      </c>
      <c r="O62" s="82" t="str">
        <f>IFERROR(VLOOKUP(B62,'Product Master'!$A:$J,7,FALSE),"")</f>
        <v/>
      </c>
    </row>
    <row r="63" spans="1:15" ht="27" customHeight="1" x14ac:dyDescent="0.5">
      <c r="A63" s="72">
        <v>39</v>
      </c>
      <c r="B63" s="95"/>
      <c r="C63" s="76" t="str">
        <f>IFERROR(VLOOKUP(B63,'Product Master'!$A:$J,2,FALSE),"")</f>
        <v/>
      </c>
      <c r="D63" s="77" t="str">
        <f>IFERROR(VLOOKUP(B63,'Product Master'!$A:$J,3,FALSE),"")</f>
        <v/>
      </c>
      <c r="E63" s="76" t="str">
        <f>IFERROR(VLOOKUP(B63,'Product Master'!$A:$J,6,FALSE),"")</f>
        <v/>
      </c>
      <c r="F63" s="77" t="str">
        <f>IFERROR(VLOOKUP(B63,'Product Master'!$A:$J,4,FALSE),"")</f>
        <v/>
      </c>
      <c r="G63" s="51"/>
      <c r="H63" s="77" t="str">
        <f>IFERROR(VLOOKUP(B63,'Product Master'!$A:$J,8,FALSE),"")</f>
        <v/>
      </c>
      <c r="I63" s="93" t="str">
        <f>IFERROR(VLOOKUP(B63,'Product Master'!$A:$J,5,FALSE),"")</f>
        <v/>
      </c>
      <c r="J63" s="78"/>
      <c r="K63" s="79" t="str">
        <f t="shared" si="0"/>
        <v/>
      </c>
      <c r="L63" s="80" t="str">
        <f t="shared" si="1"/>
        <v/>
      </c>
      <c r="M63" s="81" t="e">
        <f t="shared" si="2"/>
        <v>#VALUE!</v>
      </c>
      <c r="N63" s="106">
        <f>IF('Dash Board'!$C$17="Error Pls Fill in the Details",0,IFERROR((G63*M63),""))</f>
        <v>0</v>
      </c>
      <c r="O63" s="82" t="str">
        <f>IFERROR(VLOOKUP(B63,'Product Master'!$A:$J,7,FALSE),"")</f>
        <v/>
      </c>
    </row>
    <row r="64" spans="1:15" ht="27" customHeight="1" x14ac:dyDescent="0.5">
      <c r="A64" s="72">
        <v>40</v>
      </c>
      <c r="B64" s="95"/>
      <c r="C64" s="76" t="str">
        <f>IFERROR(VLOOKUP(B64,'Product Master'!$A:$J,2,FALSE),"")</f>
        <v/>
      </c>
      <c r="D64" s="77" t="str">
        <f>IFERROR(VLOOKUP(B64,'Product Master'!$A:$J,3,FALSE),"")</f>
        <v/>
      </c>
      <c r="E64" s="76" t="str">
        <f>IFERROR(VLOOKUP(B64,'Product Master'!$A:$J,6,FALSE),"")</f>
        <v/>
      </c>
      <c r="F64" s="77" t="str">
        <f>IFERROR(VLOOKUP(B64,'Product Master'!$A:$J,4,FALSE),"")</f>
        <v/>
      </c>
      <c r="G64" s="51"/>
      <c r="H64" s="77" t="str">
        <f>IFERROR(VLOOKUP(B64,'Product Master'!$A:$J,8,FALSE),"")</f>
        <v/>
      </c>
      <c r="I64" s="93" t="str">
        <f>IFERROR(VLOOKUP(B64,'Product Master'!$A:$J,5,FALSE),"")</f>
        <v/>
      </c>
      <c r="J64" s="78"/>
      <c r="K64" s="79" t="str">
        <f t="shared" si="0"/>
        <v/>
      </c>
      <c r="L64" s="80" t="str">
        <f t="shared" si="1"/>
        <v/>
      </c>
      <c r="M64" s="81" t="e">
        <f t="shared" si="2"/>
        <v>#VALUE!</v>
      </c>
      <c r="N64" s="106">
        <f>IF('Dash Board'!$C$17="Error Pls Fill in the Details",0,IFERROR((G64*M64),""))</f>
        <v>0</v>
      </c>
      <c r="O64" s="82" t="str">
        <f>IFERROR(VLOOKUP(B64,'Product Master'!$A:$J,7,FALSE),"")</f>
        <v/>
      </c>
    </row>
    <row r="65" spans="1:15" ht="27" customHeight="1" x14ac:dyDescent="0.5">
      <c r="A65" s="72">
        <v>41</v>
      </c>
      <c r="B65" s="95"/>
      <c r="C65" s="76" t="str">
        <f>IFERROR(VLOOKUP(B65,'Product Master'!$A:$J,2,FALSE),"")</f>
        <v/>
      </c>
      <c r="D65" s="77" t="str">
        <f>IFERROR(VLOOKUP(B65,'Product Master'!$A:$J,3,FALSE),"")</f>
        <v/>
      </c>
      <c r="E65" s="76" t="str">
        <f>IFERROR(VLOOKUP(B65,'Product Master'!$A:$J,6,FALSE),"")</f>
        <v/>
      </c>
      <c r="F65" s="77" t="str">
        <f>IFERROR(VLOOKUP(B65,'Product Master'!$A:$J,4,FALSE),"")</f>
        <v/>
      </c>
      <c r="G65" s="51"/>
      <c r="H65" s="77" t="str">
        <f>IFERROR(VLOOKUP(B65,'Product Master'!$A:$J,8,FALSE),"")</f>
        <v/>
      </c>
      <c r="I65" s="93" t="str">
        <f>IFERROR(VLOOKUP(B65,'Product Master'!$A:$J,5,FALSE),"")</f>
        <v/>
      </c>
      <c r="J65" s="78"/>
      <c r="K65" s="79" t="str">
        <f t="shared" si="0"/>
        <v/>
      </c>
      <c r="L65" s="80" t="str">
        <f t="shared" si="1"/>
        <v/>
      </c>
      <c r="M65" s="81" t="e">
        <f t="shared" si="2"/>
        <v>#VALUE!</v>
      </c>
      <c r="N65" s="106">
        <f>IF('Dash Board'!$C$17="Error Pls Fill in the Details",0,IFERROR((G65*M65),""))</f>
        <v>0</v>
      </c>
      <c r="O65" s="82" t="str">
        <f>IFERROR(VLOOKUP(B65,'Product Master'!$A:$J,7,FALSE),"")</f>
        <v/>
      </c>
    </row>
    <row r="66" spans="1:15" ht="27" customHeight="1" x14ac:dyDescent="0.5">
      <c r="A66" s="72">
        <v>42</v>
      </c>
      <c r="B66" s="95"/>
      <c r="C66" s="76" t="str">
        <f>IFERROR(VLOOKUP(B66,'Product Master'!$A:$J,2,FALSE),"")</f>
        <v/>
      </c>
      <c r="D66" s="77" t="str">
        <f>IFERROR(VLOOKUP(B66,'Product Master'!$A:$J,3,FALSE),"")</f>
        <v/>
      </c>
      <c r="E66" s="76" t="str">
        <f>IFERROR(VLOOKUP(B66,'Product Master'!$A:$J,6,FALSE),"")</f>
        <v/>
      </c>
      <c r="F66" s="77" t="str">
        <f>IFERROR(VLOOKUP(B66,'Product Master'!$A:$J,4,FALSE),"")</f>
        <v/>
      </c>
      <c r="G66" s="51"/>
      <c r="H66" s="77" t="str">
        <f>IFERROR(VLOOKUP(B66,'Product Master'!$A:$J,8,FALSE),"")</f>
        <v/>
      </c>
      <c r="I66" s="93" t="str">
        <f>IFERROR(VLOOKUP(B66,'Product Master'!$A:$J,5,FALSE),"")</f>
        <v/>
      </c>
      <c r="J66" s="78"/>
      <c r="K66" s="79" t="str">
        <f t="shared" si="0"/>
        <v/>
      </c>
      <c r="L66" s="80" t="str">
        <f t="shared" si="1"/>
        <v/>
      </c>
      <c r="M66" s="81" t="e">
        <f t="shared" si="2"/>
        <v>#VALUE!</v>
      </c>
      <c r="N66" s="106">
        <f>IF('Dash Board'!$C$17="Error Pls Fill in the Details",0,IFERROR((G66*M66),""))</f>
        <v>0</v>
      </c>
      <c r="O66" s="82" t="str">
        <f>IFERROR(VLOOKUP(B66,'Product Master'!$A:$J,7,FALSE),"")</f>
        <v/>
      </c>
    </row>
    <row r="67" spans="1:15" ht="27" customHeight="1" x14ac:dyDescent="0.5">
      <c r="A67" s="72">
        <v>43</v>
      </c>
      <c r="B67" s="95"/>
      <c r="C67" s="76" t="str">
        <f>IFERROR(VLOOKUP(B67,'Product Master'!$A:$J,2,FALSE),"")</f>
        <v/>
      </c>
      <c r="D67" s="77" t="str">
        <f>IFERROR(VLOOKUP(B67,'Product Master'!$A:$J,3,FALSE),"")</f>
        <v/>
      </c>
      <c r="E67" s="76" t="str">
        <f>IFERROR(VLOOKUP(B67,'Product Master'!$A:$J,6,FALSE),"")</f>
        <v/>
      </c>
      <c r="F67" s="77" t="str">
        <f>IFERROR(VLOOKUP(B67,'Product Master'!$A:$J,4,FALSE),"")</f>
        <v/>
      </c>
      <c r="G67" s="51"/>
      <c r="H67" s="77" t="str">
        <f>IFERROR(VLOOKUP(B67,'Product Master'!$A:$J,8,FALSE),"")</f>
        <v/>
      </c>
      <c r="I67" s="93" t="str">
        <f>IFERROR(VLOOKUP(B67,'Product Master'!$A:$J,5,FALSE),"")</f>
        <v/>
      </c>
      <c r="J67" s="78"/>
      <c r="K67" s="79" t="str">
        <f t="shared" si="0"/>
        <v/>
      </c>
      <c r="L67" s="80" t="str">
        <f t="shared" si="1"/>
        <v/>
      </c>
      <c r="M67" s="81" t="e">
        <f t="shared" si="2"/>
        <v>#VALUE!</v>
      </c>
      <c r="N67" s="106">
        <f>IF('Dash Board'!$C$17="Error Pls Fill in the Details",0,IFERROR((G67*M67),""))</f>
        <v>0</v>
      </c>
      <c r="O67" s="82" t="str">
        <f>IFERROR(VLOOKUP(B67,'Product Master'!$A:$J,7,FALSE),"")</f>
        <v/>
      </c>
    </row>
    <row r="68" spans="1:15" ht="27" customHeight="1" x14ac:dyDescent="0.5">
      <c r="A68" s="72">
        <v>44</v>
      </c>
      <c r="B68" s="95"/>
      <c r="C68" s="76" t="str">
        <f>IFERROR(VLOOKUP(B68,'Product Master'!$A:$J,2,FALSE),"")</f>
        <v/>
      </c>
      <c r="D68" s="77" t="str">
        <f>IFERROR(VLOOKUP(B68,'Product Master'!$A:$J,3,FALSE),"")</f>
        <v/>
      </c>
      <c r="E68" s="76" t="str">
        <f>IFERROR(VLOOKUP(B68,'Product Master'!$A:$J,6,FALSE),"")</f>
        <v/>
      </c>
      <c r="F68" s="77" t="str">
        <f>IFERROR(VLOOKUP(B68,'Product Master'!$A:$J,4,FALSE),"")</f>
        <v/>
      </c>
      <c r="G68" s="51"/>
      <c r="H68" s="77" t="str">
        <f>IFERROR(VLOOKUP(B68,'Product Master'!$A:$J,8,FALSE),"")</f>
        <v/>
      </c>
      <c r="I68" s="93" t="str">
        <f>IFERROR(VLOOKUP(B68,'Product Master'!$A:$J,5,FALSE),"")</f>
        <v/>
      </c>
      <c r="J68" s="78"/>
      <c r="K68" s="79" t="str">
        <f t="shared" si="0"/>
        <v/>
      </c>
      <c r="L68" s="80" t="str">
        <f t="shared" si="1"/>
        <v/>
      </c>
      <c r="M68" s="81" t="e">
        <f t="shared" si="2"/>
        <v>#VALUE!</v>
      </c>
      <c r="N68" s="106">
        <f>IF('Dash Board'!$C$17="Error Pls Fill in the Details",0,IFERROR((G68*M68),""))</f>
        <v>0</v>
      </c>
      <c r="O68" s="82" t="str">
        <f>IFERROR(VLOOKUP(B68,'Product Master'!$A:$J,7,FALSE),"")</f>
        <v/>
      </c>
    </row>
    <row r="69" spans="1:15" ht="27" customHeight="1" x14ac:dyDescent="0.5">
      <c r="A69" s="72">
        <v>45</v>
      </c>
      <c r="B69" s="95"/>
      <c r="C69" s="76" t="str">
        <f>IFERROR(VLOOKUP(B69,'Product Master'!$A:$J,2,FALSE),"")</f>
        <v/>
      </c>
      <c r="D69" s="77" t="str">
        <f>IFERROR(VLOOKUP(B69,'Product Master'!$A:$J,3,FALSE),"")</f>
        <v/>
      </c>
      <c r="E69" s="76" t="str">
        <f>IFERROR(VLOOKUP(B69,'Product Master'!$A:$J,6,FALSE),"")</f>
        <v/>
      </c>
      <c r="F69" s="77" t="str">
        <f>IFERROR(VLOOKUP(B69,'Product Master'!$A:$J,4,FALSE),"")</f>
        <v/>
      </c>
      <c r="G69" s="51"/>
      <c r="H69" s="77" t="str">
        <f>IFERROR(VLOOKUP(B69,'Product Master'!$A:$J,8,FALSE),"")</f>
        <v/>
      </c>
      <c r="I69" s="93" t="str">
        <f>IFERROR(VLOOKUP(B69,'Product Master'!$A:$J,5,FALSE),"")</f>
        <v/>
      </c>
      <c r="J69" s="78"/>
      <c r="K69" s="79" t="str">
        <f t="shared" si="0"/>
        <v/>
      </c>
      <c r="L69" s="80" t="str">
        <f t="shared" si="1"/>
        <v/>
      </c>
      <c r="M69" s="81" t="e">
        <f t="shared" si="2"/>
        <v>#VALUE!</v>
      </c>
      <c r="N69" s="106">
        <f>IF('Dash Board'!$C$17="Error Pls Fill in the Details",0,IFERROR((G69*M69),""))</f>
        <v>0</v>
      </c>
      <c r="O69" s="82" t="str">
        <f>IFERROR(VLOOKUP(B69,'Product Master'!$A:$J,7,FALSE),"")</f>
        <v/>
      </c>
    </row>
    <row r="70" spans="1:15" ht="27" customHeight="1" x14ac:dyDescent="0.5">
      <c r="A70" s="72">
        <v>46</v>
      </c>
      <c r="B70" s="95"/>
      <c r="C70" s="76" t="str">
        <f>IFERROR(VLOOKUP(B70,'Product Master'!$A:$J,2,FALSE),"")</f>
        <v/>
      </c>
      <c r="D70" s="77" t="str">
        <f>IFERROR(VLOOKUP(B70,'Product Master'!$A:$J,3,FALSE),"")</f>
        <v/>
      </c>
      <c r="E70" s="76" t="str">
        <f>IFERROR(VLOOKUP(B70,'Product Master'!$A:$J,6,FALSE),"")</f>
        <v/>
      </c>
      <c r="F70" s="77" t="str">
        <f>IFERROR(VLOOKUP(B70,'Product Master'!$A:$J,4,FALSE),"")</f>
        <v/>
      </c>
      <c r="G70" s="51"/>
      <c r="H70" s="77" t="str">
        <f>IFERROR(VLOOKUP(B70,'Product Master'!$A:$J,8,FALSE),"")</f>
        <v/>
      </c>
      <c r="I70" s="93" t="str">
        <f>IFERROR(VLOOKUP(B70,'Product Master'!$A:$J,5,FALSE),"")</f>
        <v/>
      </c>
      <c r="J70" s="78"/>
      <c r="K70" s="79" t="str">
        <f t="shared" si="0"/>
        <v/>
      </c>
      <c r="L70" s="80" t="str">
        <f t="shared" si="1"/>
        <v/>
      </c>
      <c r="M70" s="81" t="e">
        <f t="shared" si="2"/>
        <v>#VALUE!</v>
      </c>
      <c r="N70" s="106">
        <f>IF('Dash Board'!$C$17="Error Pls Fill in the Details",0,IFERROR((G70*M70),""))</f>
        <v>0</v>
      </c>
      <c r="O70" s="82" t="str">
        <f>IFERROR(VLOOKUP(B70,'Product Master'!$A:$J,7,FALSE),"")</f>
        <v/>
      </c>
    </row>
    <row r="71" spans="1:15" ht="27" customHeight="1" x14ac:dyDescent="0.5">
      <c r="A71" s="72">
        <v>47</v>
      </c>
      <c r="B71" s="95"/>
      <c r="C71" s="76" t="str">
        <f>IFERROR(VLOOKUP(B71,'Product Master'!$A:$J,2,FALSE),"")</f>
        <v/>
      </c>
      <c r="D71" s="77" t="str">
        <f>IFERROR(VLOOKUP(B71,'Product Master'!$A:$J,3,FALSE),"")</f>
        <v/>
      </c>
      <c r="E71" s="76" t="str">
        <f>IFERROR(VLOOKUP(B71,'Product Master'!$A:$J,6,FALSE),"")</f>
        <v/>
      </c>
      <c r="F71" s="77" t="str">
        <f>IFERROR(VLOOKUP(B71,'Product Master'!$A:$J,4,FALSE),"")</f>
        <v/>
      </c>
      <c r="G71" s="51"/>
      <c r="H71" s="77" t="str">
        <f>IFERROR(VLOOKUP(B71,'Product Master'!$A:$J,8,FALSE),"")</f>
        <v/>
      </c>
      <c r="I71" s="93" t="str">
        <f>IFERROR(VLOOKUP(B71,'Product Master'!$A:$J,5,FALSE),"")</f>
        <v/>
      </c>
      <c r="J71" s="78"/>
      <c r="K71" s="79" t="str">
        <f t="shared" si="0"/>
        <v/>
      </c>
      <c r="L71" s="80" t="str">
        <f t="shared" si="1"/>
        <v/>
      </c>
      <c r="M71" s="81" t="e">
        <f t="shared" si="2"/>
        <v>#VALUE!</v>
      </c>
      <c r="N71" s="106">
        <f>IF('Dash Board'!$C$17="Error Pls Fill in the Details",0,IFERROR((G71*M71),""))</f>
        <v>0</v>
      </c>
      <c r="O71" s="82" t="str">
        <f>IFERROR(VLOOKUP(B71,'Product Master'!$A:$J,7,FALSE),"")</f>
        <v/>
      </c>
    </row>
    <row r="72" spans="1:15" ht="27" customHeight="1" x14ac:dyDescent="0.5">
      <c r="A72" s="72">
        <v>48</v>
      </c>
      <c r="B72" s="95"/>
      <c r="C72" s="76" t="str">
        <f>IFERROR(VLOOKUP(B72,'Product Master'!$A:$J,2,FALSE),"")</f>
        <v/>
      </c>
      <c r="D72" s="77" t="str">
        <f>IFERROR(VLOOKUP(B72,'Product Master'!$A:$J,3,FALSE),"")</f>
        <v/>
      </c>
      <c r="E72" s="76" t="str">
        <f>IFERROR(VLOOKUP(B72,'Product Master'!$A:$J,6,FALSE),"")</f>
        <v/>
      </c>
      <c r="F72" s="77" t="str">
        <f>IFERROR(VLOOKUP(B72,'Product Master'!$A:$J,4,FALSE),"")</f>
        <v/>
      </c>
      <c r="G72" s="51"/>
      <c r="H72" s="77" t="str">
        <f>IFERROR(VLOOKUP(B72,'Product Master'!$A:$J,8,FALSE),"")</f>
        <v/>
      </c>
      <c r="I72" s="93" t="str">
        <f>IFERROR(VLOOKUP(B72,'Product Master'!$A:$J,5,FALSE),"")</f>
        <v/>
      </c>
      <c r="J72" s="78"/>
      <c r="K72" s="79" t="str">
        <f t="shared" si="0"/>
        <v/>
      </c>
      <c r="L72" s="80" t="str">
        <f t="shared" si="1"/>
        <v/>
      </c>
      <c r="M72" s="81" t="e">
        <f t="shared" si="2"/>
        <v>#VALUE!</v>
      </c>
      <c r="N72" s="106">
        <f>IF('Dash Board'!$C$17="Error Pls Fill in the Details",0,IFERROR((G72*M72),""))</f>
        <v>0</v>
      </c>
      <c r="O72" s="82" t="str">
        <f>IFERROR(VLOOKUP(B72,'Product Master'!$A:$J,7,FALSE),"")</f>
        <v/>
      </c>
    </row>
    <row r="73" spans="1:15" ht="27" customHeight="1" x14ac:dyDescent="0.5">
      <c r="A73" s="72">
        <v>49</v>
      </c>
      <c r="B73" s="95"/>
      <c r="C73" s="76" t="str">
        <f>IFERROR(VLOOKUP(B73,'Product Master'!$A:$J,2,FALSE),"")</f>
        <v/>
      </c>
      <c r="D73" s="77" t="str">
        <f>IFERROR(VLOOKUP(B73,'Product Master'!$A:$J,3,FALSE),"")</f>
        <v/>
      </c>
      <c r="E73" s="76" t="str">
        <f>IFERROR(VLOOKUP(B73,'Product Master'!$A:$J,6,FALSE),"")</f>
        <v/>
      </c>
      <c r="F73" s="77" t="str">
        <f>IFERROR(VLOOKUP(B73,'Product Master'!$A:$J,4,FALSE),"")</f>
        <v/>
      </c>
      <c r="G73" s="51"/>
      <c r="H73" s="77" t="str">
        <f>IFERROR(VLOOKUP(B73,'Product Master'!$A:$J,8,FALSE),"")</f>
        <v/>
      </c>
      <c r="I73" s="93" t="str">
        <f>IFERROR(VLOOKUP(B73,'Product Master'!$A:$J,5,FALSE),"")</f>
        <v/>
      </c>
      <c r="J73" s="78"/>
      <c r="K73" s="79" t="str">
        <f t="shared" si="0"/>
        <v/>
      </c>
      <c r="L73" s="80" t="str">
        <f t="shared" si="1"/>
        <v/>
      </c>
      <c r="M73" s="81" t="e">
        <f t="shared" si="2"/>
        <v>#VALUE!</v>
      </c>
      <c r="N73" s="106">
        <f>IF('Dash Board'!$C$17="Error Pls Fill in the Details",0,IFERROR((G73*M73),""))</f>
        <v>0</v>
      </c>
      <c r="O73" s="82" t="str">
        <f>IFERROR(VLOOKUP(B73,'Product Master'!$A:$J,7,FALSE),"")</f>
        <v/>
      </c>
    </row>
    <row r="74" spans="1:15" ht="27" customHeight="1" x14ac:dyDescent="0.5">
      <c r="A74" s="72">
        <v>50</v>
      </c>
      <c r="B74" s="95"/>
      <c r="C74" s="76" t="str">
        <f>IFERROR(VLOOKUP(B74,'Product Master'!$A:$J,2,FALSE),"")</f>
        <v/>
      </c>
      <c r="D74" s="77" t="str">
        <f>IFERROR(VLOOKUP(B74,'Product Master'!$A:$J,3,FALSE),"")</f>
        <v/>
      </c>
      <c r="E74" s="76" t="str">
        <f>IFERROR(VLOOKUP(B74,'Product Master'!$A:$J,6,FALSE),"")</f>
        <v/>
      </c>
      <c r="F74" s="77" t="str">
        <f>IFERROR(VLOOKUP(B74,'Product Master'!$A:$J,4,FALSE),"")</f>
        <v/>
      </c>
      <c r="G74" s="51"/>
      <c r="H74" s="77" t="str">
        <f>IFERROR(VLOOKUP(B74,'Product Master'!$A:$J,8,FALSE),"")</f>
        <v/>
      </c>
      <c r="I74" s="93" t="str">
        <f>IFERROR(VLOOKUP(B74,'Product Master'!$A:$J,5,FALSE),"")</f>
        <v/>
      </c>
      <c r="J74" s="78"/>
      <c r="K74" s="79" t="str">
        <f t="shared" si="0"/>
        <v/>
      </c>
      <c r="L74" s="80" t="str">
        <f t="shared" si="1"/>
        <v/>
      </c>
      <c r="M74" s="81" t="e">
        <f t="shared" si="2"/>
        <v>#VALUE!</v>
      </c>
      <c r="N74" s="106">
        <f>IF('Dash Board'!$C$17="Error Pls Fill in the Details",0,IFERROR((G74*M74),""))</f>
        <v>0</v>
      </c>
      <c r="O74" s="82" t="str">
        <f>IFERROR(VLOOKUP(B74,'Product Master'!$A:$J,7,FALSE),"")</f>
        <v/>
      </c>
    </row>
    <row r="75" spans="1:15" ht="27" customHeight="1" x14ac:dyDescent="0.5">
      <c r="A75" s="72">
        <v>51</v>
      </c>
      <c r="B75" s="95"/>
      <c r="C75" s="76" t="str">
        <f>IFERROR(VLOOKUP(B75,'Product Master'!$A:$J,2,FALSE),"")</f>
        <v/>
      </c>
      <c r="D75" s="77" t="str">
        <f>IFERROR(VLOOKUP(B75,'Product Master'!$A:$J,3,FALSE),"")</f>
        <v/>
      </c>
      <c r="E75" s="76" t="str">
        <f>IFERROR(VLOOKUP(B75,'Product Master'!$A:$J,6,FALSE),"")</f>
        <v/>
      </c>
      <c r="F75" s="77" t="str">
        <f>IFERROR(VLOOKUP(B75,'Product Master'!$A:$J,4,FALSE),"")</f>
        <v/>
      </c>
      <c r="G75" s="51"/>
      <c r="H75" s="77" t="str">
        <f>IFERROR(VLOOKUP(B75,'Product Master'!$A:$J,8,FALSE),"")</f>
        <v/>
      </c>
      <c r="I75" s="93" t="str">
        <f>IFERROR(VLOOKUP(B75,'Product Master'!$A:$J,5,FALSE),"")</f>
        <v/>
      </c>
      <c r="J75" s="78"/>
      <c r="K75" s="79" t="str">
        <f t="shared" si="0"/>
        <v/>
      </c>
      <c r="L75" s="80" t="str">
        <f t="shared" si="1"/>
        <v/>
      </c>
      <c r="M75" s="81" t="e">
        <f t="shared" si="2"/>
        <v>#VALUE!</v>
      </c>
      <c r="N75" s="106">
        <f>IF('Dash Board'!$C$17="Error Pls Fill in the Details",0,IFERROR((G75*M75),""))</f>
        <v>0</v>
      </c>
      <c r="O75" s="82" t="str">
        <f>IFERROR(VLOOKUP(B75,'Product Master'!$A:$J,7,FALSE),"")</f>
        <v/>
      </c>
    </row>
    <row r="76" spans="1:15" ht="27" customHeight="1" x14ac:dyDescent="0.5">
      <c r="A76" s="72">
        <v>52</v>
      </c>
      <c r="B76" s="95"/>
      <c r="C76" s="76" t="str">
        <f>IFERROR(VLOOKUP(B76,'Product Master'!$A:$J,2,FALSE),"")</f>
        <v/>
      </c>
      <c r="D76" s="77" t="str">
        <f>IFERROR(VLOOKUP(B76,'Product Master'!$A:$J,3,FALSE),"")</f>
        <v/>
      </c>
      <c r="E76" s="76" t="str">
        <f>IFERROR(VLOOKUP(B76,'Product Master'!$A:$J,6,FALSE),"")</f>
        <v/>
      </c>
      <c r="F76" s="77" t="str">
        <f>IFERROR(VLOOKUP(B76,'Product Master'!$A:$J,4,FALSE),"")</f>
        <v/>
      </c>
      <c r="G76" s="51"/>
      <c r="H76" s="77" t="str">
        <f>IFERROR(VLOOKUP(B76,'Product Master'!$A:$J,8,FALSE),"")</f>
        <v/>
      </c>
      <c r="I76" s="93" t="str">
        <f>IFERROR(VLOOKUP(B76,'Product Master'!$A:$J,5,FALSE),"")</f>
        <v/>
      </c>
      <c r="J76" s="78"/>
      <c r="K76" s="79" t="str">
        <f t="shared" si="0"/>
        <v/>
      </c>
      <c r="L76" s="80" t="str">
        <f t="shared" si="1"/>
        <v/>
      </c>
      <c r="M76" s="81" t="e">
        <f t="shared" si="2"/>
        <v>#VALUE!</v>
      </c>
      <c r="N76" s="106">
        <f>IF('Dash Board'!$C$17="Error Pls Fill in the Details",0,IFERROR((G76*M76),""))</f>
        <v>0</v>
      </c>
      <c r="O76" s="82" t="str">
        <f>IFERROR(VLOOKUP(B76,'Product Master'!$A:$J,7,FALSE),"")</f>
        <v/>
      </c>
    </row>
    <row r="77" spans="1:15" ht="27" customHeight="1" x14ac:dyDescent="0.5">
      <c r="A77" s="72">
        <v>53</v>
      </c>
      <c r="B77" s="95"/>
      <c r="C77" s="76" t="str">
        <f>IFERROR(VLOOKUP(B77,'Product Master'!$A:$J,2,FALSE),"")</f>
        <v/>
      </c>
      <c r="D77" s="77" t="str">
        <f>IFERROR(VLOOKUP(B77,'Product Master'!$A:$J,3,FALSE),"")</f>
        <v/>
      </c>
      <c r="E77" s="76" t="str">
        <f>IFERROR(VLOOKUP(B77,'Product Master'!$A:$J,6,FALSE),"")</f>
        <v/>
      </c>
      <c r="F77" s="77" t="str">
        <f>IFERROR(VLOOKUP(B77,'Product Master'!$A:$J,4,FALSE),"")</f>
        <v/>
      </c>
      <c r="G77" s="51"/>
      <c r="H77" s="77" t="str">
        <f>IFERROR(VLOOKUP(B77,'Product Master'!$A:$J,8,FALSE),"")</f>
        <v/>
      </c>
      <c r="I77" s="93" t="str">
        <f>IFERROR(VLOOKUP(B77,'Product Master'!$A:$J,5,FALSE),"")</f>
        <v/>
      </c>
      <c r="J77" s="78"/>
      <c r="K77" s="79" t="str">
        <f t="shared" si="0"/>
        <v/>
      </c>
      <c r="L77" s="80" t="str">
        <f t="shared" si="1"/>
        <v/>
      </c>
      <c r="M77" s="81" t="e">
        <f t="shared" si="2"/>
        <v>#VALUE!</v>
      </c>
      <c r="N77" s="106">
        <f>IF('Dash Board'!$C$17="Error Pls Fill in the Details",0,IFERROR((G77*M77),""))</f>
        <v>0</v>
      </c>
      <c r="O77" s="82" t="str">
        <f>IFERROR(VLOOKUP(B77,'Product Master'!$A:$J,7,FALSE),"")</f>
        <v/>
      </c>
    </row>
    <row r="78" spans="1:15" ht="27" customHeight="1" x14ac:dyDescent="0.5">
      <c r="A78" s="72">
        <v>54</v>
      </c>
      <c r="B78" s="95"/>
      <c r="C78" s="76" t="str">
        <f>IFERROR(VLOOKUP(B78,'Product Master'!$A:$J,2,FALSE),"")</f>
        <v/>
      </c>
      <c r="D78" s="77" t="str">
        <f>IFERROR(VLOOKUP(B78,'Product Master'!$A:$J,3,FALSE),"")</f>
        <v/>
      </c>
      <c r="E78" s="76" t="str">
        <f>IFERROR(VLOOKUP(B78,'Product Master'!$A:$J,6,FALSE),"")</f>
        <v/>
      </c>
      <c r="F78" s="77" t="str">
        <f>IFERROR(VLOOKUP(B78,'Product Master'!$A:$J,4,FALSE),"")</f>
        <v/>
      </c>
      <c r="G78" s="51"/>
      <c r="H78" s="77" t="str">
        <f>IFERROR(VLOOKUP(B78,'Product Master'!$A:$J,8,FALSE),"")</f>
        <v/>
      </c>
      <c r="I78" s="93" t="str">
        <f>IFERROR(VLOOKUP(B78,'Product Master'!$A:$J,5,FALSE),"")</f>
        <v/>
      </c>
      <c r="J78" s="78"/>
      <c r="K78" s="79" t="str">
        <f t="shared" si="0"/>
        <v/>
      </c>
      <c r="L78" s="80" t="str">
        <f t="shared" si="1"/>
        <v/>
      </c>
      <c r="M78" s="81" t="e">
        <f t="shared" si="2"/>
        <v>#VALUE!</v>
      </c>
      <c r="N78" s="106">
        <f>IF('Dash Board'!$C$17="Error Pls Fill in the Details",0,IFERROR((G78*M78),""))</f>
        <v>0</v>
      </c>
      <c r="O78" s="82" t="str">
        <f>IFERROR(VLOOKUP(B78,'Product Master'!$A:$J,7,FALSE),"")</f>
        <v/>
      </c>
    </row>
    <row r="79" spans="1:15" ht="27" customHeight="1" x14ac:dyDescent="0.5">
      <c r="A79" s="72">
        <v>55</v>
      </c>
      <c r="B79" s="95"/>
      <c r="C79" s="76" t="str">
        <f>IFERROR(VLOOKUP(B79,'Product Master'!$A:$J,2,FALSE),"")</f>
        <v/>
      </c>
      <c r="D79" s="77" t="str">
        <f>IFERROR(VLOOKUP(B79,'Product Master'!$A:$J,3,FALSE),"")</f>
        <v/>
      </c>
      <c r="E79" s="76" t="str">
        <f>IFERROR(VLOOKUP(B79,'Product Master'!$A:$J,6,FALSE),"")</f>
        <v/>
      </c>
      <c r="F79" s="77" t="str">
        <f>IFERROR(VLOOKUP(B79,'Product Master'!$A:$J,4,FALSE),"")</f>
        <v/>
      </c>
      <c r="G79" s="51"/>
      <c r="H79" s="77" t="str">
        <f>IFERROR(VLOOKUP(B79,'Product Master'!$A:$J,8,FALSE),"")</f>
        <v/>
      </c>
      <c r="I79" s="93" t="str">
        <f>IFERROR(VLOOKUP(B79,'Product Master'!$A:$J,5,FALSE),"")</f>
        <v/>
      </c>
      <c r="J79" s="78"/>
      <c r="K79" s="79" t="str">
        <f t="shared" si="0"/>
        <v/>
      </c>
      <c r="L79" s="80" t="str">
        <f t="shared" si="1"/>
        <v/>
      </c>
      <c r="M79" s="81" t="e">
        <f t="shared" si="2"/>
        <v>#VALUE!</v>
      </c>
      <c r="N79" s="106">
        <f>IF('Dash Board'!$C$17="Error Pls Fill in the Details",0,IFERROR((G79*M79),""))</f>
        <v>0</v>
      </c>
      <c r="O79" s="82" t="str">
        <f>IFERROR(VLOOKUP(B79,'Product Master'!$A:$J,7,FALSE),"")</f>
        <v/>
      </c>
    </row>
    <row r="80" spans="1:15" ht="27" customHeight="1" x14ac:dyDescent="0.5">
      <c r="A80" s="72">
        <v>56</v>
      </c>
      <c r="B80" s="95"/>
      <c r="C80" s="76" t="str">
        <f>IFERROR(VLOOKUP(B80,'Product Master'!$A:$J,2,FALSE),"")</f>
        <v/>
      </c>
      <c r="D80" s="77" t="str">
        <f>IFERROR(VLOOKUP(B80,'Product Master'!$A:$J,3,FALSE),"")</f>
        <v/>
      </c>
      <c r="E80" s="76" t="str">
        <f>IFERROR(VLOOKUP(B80,'Product Master'!$A:$J,6,FALSE),"")</f>
        <v/>
      </c>
      <c r="F80" s="77" t="str">
        <f>IFERROR(VLOOKUP(B80,'Product Master'!$A:$J,4,FALSE),"")</f>
        <v/>
      </c>
      <c r="G80" s="51"/>
      <c r="H80" s="77" t="str">
        <f>IFERROR(VLOOKUP(B80,'Product Master'!$A:$J,8,FALSE),"")</f>
        <v/>
      </c>
      <c r="I80" s="93" t="str">
        <f>IFERROR(VLOOKUP(B80,'Product Master'!$A:$J,5,FALSE),"")</f>
        <v/>
      </c>
      <c r="J80" s="78"/>
      <c r="K80" s="79" t="str">
        <f t="shared" si="0"/>
        <v/>
      </c>
      <c r="L80" s="80" t="str">
        <f t="shared" si="1"/>
        <v/>
      </c>
      <c r="M80" s="81" t="e">
        <f t="shared" si="2"/>
        <v>#VALUE!</v>
      </c>
      <c r="N80" s="106">
        <f>IF('Dash Board'!$C$17="Error Pls Fill in the Details",0,IFERROR((G80*M80),""))</f>
        <v>0</v>
      </c>
      <c r="O80" s="82" t="str">
        <f>IFERROR(VLOOKUP(B80,'Product Master'!$A:$J,7,FALSE),"")</f>
        <v/>
      </c>
    </row>
    <row r="81" spans="1:15" ht="27" customHeight="1" x14ac:dyDescent="0.5">
      <c r="A81" s="72">
        <v>57</v>
      </c>
      <c r="B81" s="95"/>
      <c r="C81" s="76" t="str">
        <f>IFERROR(VLOOKUP(B81,'Product Master'!$A:$J,2,FALSE),"")</f>
        <v/>
      </c>
      <c r="D81" s="77" t="str">
        <f>IFERROR(VLOOKUP(B81,'Product Master'!$A:$J,3,FALSE),"")</f>
        <v/>
      </c>
      <c r="E81" s="76" t="str">
        <f>IFERROR(VLOOKUP(B81,'Product Master'!$A:$J,6,FALSE),"")</f>
        <v/>
      </c>
      <c r="F81" s="77" t="str">
        <f>IFERROR(VLOOKUP(B81,'Product Master'!$A:$J,4,FALSE),"")</f>
        <v/>
      </c>
      <c r="G81" s="51"/>
      <c r="H81" s="77" t="str">
        <f>IFERROR(VLOOKUP(B81,'Product Master'!$A:$J,8,FALSE),"")</f>
        <v/>
      </c>
      <c r="I81" s="93" t="str">
        <f>IFERROR(VLOOKUP(B81,'Product Master'!$A:$J,5,FALSE),"")</f>
        <v/>
      </c>
      <c r="J81" s="78"/>
      <c r="K81" s="79" t="str">
        <f t="shared" si="0"/>
        <v/>
      </c>
      <c r="L81" s="80" t="str">
        <f t="shared" si="1"/>
        <v/>
      </c>
      <c r="M81" s="81" t="e">
        <f t="shared" si="2"/>
        <v>#VALUE!</v>
      </c>
      <c r="N81" s="106">
        <f>IF('Dash Board'!$C$17="Error Pls Fill in the Details",0,IFERROR((G81*M81),""))</f>
        <v>0</v>
      </c>
      <c r="O81" s="82" t="str">
        <f>IFERROR(VLOOKUP(B81,'Product Master'!$A:$J,7,FALSE),"")</f>
        <v/>
      </c>
    </row>
    <row r="82" spans="1:15" ht="27" customHeight="1" x14ac:dyDescent="0.5">
      <c r="A82" s="72">
        <v>58</v>
      </c>
      <c r="B82" s="95"/>
      <c r="C82" s="76" t="str">
        <f>IFERROR(VLOOKUP(B82,'Product Master'!$A:$J,2,FALSE),"")</f>
        <v/>
      </c>
      <c r="D82" s="77" t="str">
        <f>IFERROR(VLOOKUP(B82,'Product Master'!$A:$J,3,FALSE),"")</f>
        <v/>
      </c>
      <c r="E82" s="76" t="str">
        <f>IFERROR(VLOOKUP(B82,'Product Master'!$A:$J,6,FALSE),"")</f>
        <v/>
      </c>
      <c r="F82" s="77" t="str">
        <f>IFERROR(VLOOKUP(B82,'Product Master'!$A:$J,4,FALSE),"")</f>
        <v/>
      </c>
      <c r="G82" s="51"/>
      <c r="H82" s="77" t="str">
        <f>IFERROR(VLOOKUP(B82,'Product Master'!$A:$J,8,FALSE),"")</f>
        <v/>
      </c>
      <c r="I82" s="93" t="str">
        <f>IFERROR(VLOOKUP(B82,'Product Master'!$A:$J,5,FALSE),"")</f>
        <v/>
      </c>
      <c r="J82" s="78"/>
      <c r="K82" s="79" t="str">
        <f t="shared" si="0"/>
        <v/>
      </c>
      <c r="L82" s="80" t="str">
        <f t="shared" si="1"/>
        <v/>
      </c>
      <c r="M82" s="81" t="e">
        <f t="shared" si="2"/>
        <v>#VALUE!</v>
      </c>
      <c r="N82" s="106">
        <f>IF('Dash Board'!$C$17="Error Pls Fill in the Details",0,IFERROR((G82*M82),""))</f>
        <v>0</v>
      </c>
      <c r="O82" s="82" t="str">
        <f>IFERROR(VLOOKUP(B82,'Product Master'!$A:$J,7,FALSE),"")</f>
        <v/>
      </c>
    </row>
    <row r="83" spans="1:15" ht="27" customHeight="1" x14ac:dyDescent="0.5">
      <c r="A83" s="72">
        <v>59</v>
      </c>
      <c r="B83" s="95"/>
      <c r="C83" s="76" t="str">
        <f>IFERROR(VLOOKUP(B83,'Product Master'!$A:$J,2,FALSE),"")</f>
        <v/>
      </c>
      <c r="D83" s="77" t="str">
        <f>IFERROR(VLOOKUP(B83,'Product Master'!$A:$J,3,FALSE),"")</f>
        <v/>
      </c>
      <c r="E83" s="76" t="str">
        <f>IFERROR(VLOOKUP(B83,'Product Master'!$A:$J,6,FALSE),"")</f>
        <v/>
      </c>
      <c r="F83" s="77" t="str">
        <f>IFERROR(VLOOKUP(B83,'Product Master'!$A:$J,4,FALSE),"")</f>
        <v/>
      </c>
      <c r="G83" s="51"/>
      <c r="H83" s="77" t="str">
        <f>IFERROR(VLOOKUP(B83,'Product Master'!$A:$J,8,FALSE),"")</f>
        <v/>
      </c>
      <c r="I83" s="93" t="str">
        <f>IFERROR(VLOOKUP(B83,'Product Master'!$A:$J,5,FALSE),"")</f>
        <v/>
      </c>
      <c r="J83" s="78"/>
      <c r="K83" s="79" t="str">
        <f t="shared" si="0"/>
        <v/>
      </c>
      <c r="L83" s="80" t="str">
        <f t="shared" si="1"/>
        <v/>
      </c>
      <c r="M83" s="81" t="e">
        <f t="shared" si="2"/>
        <v>#VALUE!</v>
      </c>
      <c r="N83" s="106">
        <f>IF('Dash Board'!$C$17="Error Pls Fill in the Details",0,IFERROR((G83*M83),""))</f>
        <v>0</v>
      </c>
      <c r="O83" s="82" t="str">
        <f>IFERROR(VLOOKUP(B83,'Product Master'!$A:$J,7,FALSE),"")</f>
        <v/>
      </c>
    </row>
    <row r="84" spans="1:15" ht="27" customHeight="1" x14ac:dyDescent="0.5">
      <c r="A84" s="72">
        <v>60</v>
      </c>
      <c r="B84" s="95"/>
      <c r="C84" s="76" t="str">
        <f>IFERROR(VLOOKUP(B84,'Product Master'!$A:$J,2,FALSE),"")</f>
        <v/>
      </c>
      <c r="D84" s="77" t="str">
        <f>IFERROR(VLOOKUP(B84,'Product Master'!$A:$J,3,FALSE),"")</f>
        <v/>
      </c>
      <c r="E84" s="76" t="str">
        <f>IFERROR(VLOOKUP(B84,'Product Master'!$A:$J,6,FALSE),"")</f>
        <v/>
      </c>
      <c r="F84" s="77" t="str">
        <f>IFERROR(VLOOKUP(B84,'Product Master'!$A:$J,4,FALSE),"")</f>
        <v/>
      </c>
      <c r="G84" s="51"/>
      <c r="H84" s="77" t="str">
        <f>IFERROR(VLOOKUP(B84,'Product Master'!$A:$J,8,FALSE),"")</f>
        <v/>
      </c>
      <c r="I84" s="93" t="str">
        <f>IFERROR(VLOOKUP(B84,'Product Master'!$A:$J,5,FALSE),"")</f>
        <v/>
      </c>
      <c r="J84" s="78"/>
      <c r="K84" s="79" t="str">
        <f t="shared" si="0"/>
        <v/>
      </c>
      <c r="L84" s="80" t="str">
        <f t="shared" si="1"/>
        <v/>
      </c>
      <c r="M84" s="81" t="e">
        <f t="shared" si="2"/>
        <v>#VALUE!</v>
      </c>
      <c r="N84" s="106">
        <f>IF('Dash Board'!$C$17="Error Pls Fill in the Details",0,IFERROR((G84*M84),""))</f>
        <v>0</v>
      </c>
      <c r="O84" s="82" t="str">
        <f>IFERROR(VLOOKUP(B84,'Product Master'!$A:$J,7,FALSE),"")</f>
        <v/>
      </c>
    </row>
    <row r="85" spans="1:15" ht="27" customHeight="1" x14ac:dyDescent="0.5">
      <c r="A85" s="72">
        <v>61</v>
      </c>
      <c r="B85" s="95"/>
      <c r="C85" s="76" t="str">
        <f>IFERROR(VLOOKUP(B85,'Product Master'!$A:$J,2,FALSE),"")</f>
        <v/>
      </c>
      <c r="D85" s="77" t="str">
        <f>IFERROR(VLOOKUP(B85,'Product Master'!$A:$J,3,FALSE),"")</f>
        <v/>
      </c>
      <c r="E85" s="76" t="str">
        <f>IFERROR(VLOOKUP(B85,'Product Master'!$A:$J,6,FALSE),"")</f>
        <v/>
      </c>
      <c r="F85" s="77" t="str">
        <f>IFERROR(VLOOKUP(B85,'Product Master'!$A:$J,4,FALSE),"")</f>
        <v/>
      </c>
      <c r="G85" s="51"/>
      <c r="H85" s="77" t="str">
        <f>IFERROR(VLOOKUP(B85,'Product Master'!$A:$J,8,FALSE),"")</f>
        <v/>
      </c>
      <c r="I85" s="93" t="str">
        <f>IFERROR(VLOOKUP(B85,'Product Master'!$A:$J,5,FALSE),"")</f>
        <v/>
      </c>
      <c r="J85" s="78"/>
      <c r="K85" s="79" t="str">
        <f t="shared" si="0"/>
        <v/>
      </c>
      <c r="L85" s="80" t="str">
        <f t="shared" si="1"/>
        <v/>
      </c>
      <c r="M85" s="81" t="e">
        <f t="shared" si="2"/>
        <v>#VALUE!</v>
      </c>
      <c r="N85" s="106">
        <f>IF('Dash Board'!$C$17="Error Pls Fill in the Details",0,IFERROR((G85*M85),""))</f>
        <v>0</v>
      </c>
      <c r="O85" s="82" t="str">
        <f>IFERROR(VLOOKUP(B85,'Product Master'!$A:$J,7,FALSE),"")</f>
        <v/>
      </c>
    </row>
    <row r="86" spans="1:15" ht="27" customHeight="1" x14ac:dyDescent="0.5">
      <c r="A86" s="72">
        <v>62</v>
      </c>
      <c r="B86" s="95"/>
      <c r="C86" s="76" t="str">
        <f>IFERROR(VLOOKUP(B86,'Product Master'!$A:$J,2,FALSE),"")</f>
        <v/>
      </c>
      <c r="D86" s="77" t="str">
        <f>IFERROR(VLOOKUP(B86,'Product Master'!$A:$J,3,FALSE),"")</f>
        <v/>
      </c>
      <c r="E86" s="76" t="str">
        <f>IFERROR(VLOOKUP(B86,'Product Master'!$A:$J,6,FALSE),"")</f>
        <v/>
      </c>
      <c r="F86" s="77" t="str">
        <f>IFERROR(VLOOKUP(B86,'Product Master'!$A:$J,4,FALSE),"")</f>
        <v/>
      </c>
      <c r="G86" s="51"/>
      <c r="H86" s="77" t="str">
        <f>IFERROR(VLOOKUP(B86,'Product Master'!$A:$J,8,FALSE),"")</f>
        <v/>
      </c>
      <c r="I86" s="93" t="str">
        <f>IFERROR(VLOOKUP(B86,'Product Master'!$A:$J,5,FALSE),"")</f>
        <v/>
      </c>
      <c r="J86" s="78"/>
      <c r="K86" s="79" t="str">
        <f t="shared" si="0"/>
        <v/>
      </c>
      <c r="L86" s="80" t="str">
        <f t="shared" si="1"/>
        <v/>
      </c>
      <c r="M86" s="81" t="e">
        <f t="shared" si="2"/>
        <v>#VALUE!</v>
      </c>
      <c r="N86" s="106">
        <f>IF('Dash Board'!$C$17="Error Pls Fill in the Details",0,IFERROR((G86*M86),""))</f>
        <v>0</v>
      </c>
      <c r="O86" s="82" t="str">
        <f>IFERROR(VLOOKUP(B86,'Product Master'!$A:$J,7,FALSE),"")</f>
        <v/>
      </c>
    </row>
    <row r="87" spans="1:15" ht="27" customHeight="1" x14ac:dyDescent="0.5">
      <c r="A87" s="72">
        <v>63</v>
      </c>
      <c r="B87" s="95"/>
      <c r="C87" s="76" t="str">
        <f>IFERROR(VLOOKUP(B87,'Product Master'!$A:$J,2,FALSE),"")</f>
        <v/>
      </c>
      <c r="D87" s="77" t="str">
        <f>IFERROR(VLOOKUP(B87,'Product Master'!$A:$J,3,FALSE),"")</f>
        <v/>
      </c>
      <c r="E87" s="76" t="str">
        <f>IFERROR(VLOOKUP(B87,'Product Master'!$A:$J,6,FALSE),"")</f>
        <v/>
      </c>
      <c r="F87" s="77" t="str">
        <f>IFERROR(VLOOKUP(B87,'Product Master'!$A:$J,4,FALSE),"")</f>
        <v/>
      </c>
      <c r="G87" s="51"/>
      <c r="H87" s="77" t="str">
        <f>IFERROR(VLOOKUP(B87,'Product Master'!$A:$J,8,FALSE),"")</f>
        <v/>
      </c>
      <c r="I87" s="93" t="str">
        <f>IFERROR(VLOOKUP(B87,'Product Master'!$A:$J,5,FALSE),"")</f>
        <v/>
      </c>
      <c r="J87" s="78"/>
      <c r="K87" s="79" t="str">
        <f t="shared" si="0"/>
        <v/>
      </c>
      <c r="L87" s="80" t="str">
        <f t="shared" si="1"/>
        <v/>
      </c>
      <c r="M87" s="81" t="e">
        <f t="shared" si="2"/>
        <v>#VALUE!</v>
      </c>
      <c r="N87" s="106">
        <f>IF('Dash Board'!$C$17="Error Pls Fill in the Details",0,IFERROR((G87*M87),""))</f>
        <v>0</v>
      </c>
      <c r="O87" s="82" t="str">
        <f>IFERROR(VLOOKUP(B87,'Product Master'!$A:$J,7,FALSE),"")</f>
        <v/>
      </c>
    </row>
    <row r="88" spans="1:15" ht="27" customHeight="1" x14ac:dyDescent="0.5">
      <c r="A88" s="72">
        <v>64</v>
      </c>
      <c r="B88" s="95"/>
      <c r="C88" s="76" t="str">
        <f>IFERROR(VLOOKUP(B88,'Product Master'!$A:$J,2,FALSE),"")</f>
        <v/>
      </c>
      <c r="D88" s="77" t="str">
        <f>IFERROR(VLOOKUP(B88,'Product Master'!$A:$J,3,FALSE),"")</f>
        <v/>
      </c>
      <c r="E88" s="76" t="str">
        <f>IFERROR(VLOOKUP(B88,'Product Master'!$A:$J,6,FALSE),"")</f>
        <v/>
      </c>
      <c r="F88" s="77" t="str">
        <f>IFERROR(VLOOKUP(B88,'Product Master'!$A:$J,4,FALSE),"")</f>
        <v/>
      </c>
      <c r="G88" s="51"/>
      <c r="H88" s="77" t="str">
        <f>IFERROR(VLOOKUP(B88,'Product Master'!$A:$J,8,FALSE),"")</f>
        <v/>
      </c>
      <c r="I88" s="93" t="str">
        <f>IFERROR(VLOOKUP(B88,'Product Master'!$A:$J,5,FALSE),"")</f>
        <v/>
      </c>
      <c r="J88" s="78"/>
      <c r="K88" s="79" t="str">
        <f t="shared" si="0"/>
        <v/>
      </c>
      <c r="L88" s="80" t="str">
        <f t="shared" si="1"/>
        <v/>
      </c>
      <c r="M88" s="81" t="e">
        <f t="shared" si="2"/>
        <v>#VALUE!</v>
      </c>
      <c r="N88" s="106">
        <f>IF('Dash Board'!$C$17="Error Pls Fill in the Details",0,IFERROR((G88*M88),""))</f>
        <v>0</v>
      </c>
      <c r="O88" s="82" t="str">
        <f>IFERROR(VLOOKUP(B88,'Product Master'!$A:$J,7,FALSE),"")</f>
        <v/>
      </c>
    </row>
    <row r="89" spans="1:15" ht="27" customHeight="1" x14ac:dyDescent="0.5">
      <c r="A89" s="72">
        <v>65</v>
      </c>
      <c r="B89" s="95"/>
      <c r="C89" s="76" t="str">
        <f>IFERROR(VLOOKUP(B89,'Product Master'!$A:$J,2,FALSE),"")</f>
        <v/>
      </c>
      <c r="D89" s="77" t="str">
        <f>IFERROR(VLOOKUP(B89,'Product Master'!$A:$J,3,FALSE),"")</f>
        <v/>
      </c>
      <c r="E89" s="76" t="str">
        <f>IFERROR(VLOOKUP(B89,'Product Master'!$A:$J,6,FALSE),"")</f>
        <v/>
      </c>
      <c r="F89" s="77" t="str">
        <f>IFERROR(VLOOKUP(B89,'Product Master'!$A:$J,4,FALSE),"")</f>
        <v/>
      </c>
      <c r="G89" s="51"/>
      <c r="H89" s="77" t="str">
        <f>IFERROR(VLOOKUP(B89,'Product Master'!$A:$J,8,FALSE),"")</f>
        <v/>
      </c>
      <c r="I89" s="93" t="str">
        <f>IFERROR(VLOOKUP(B89,'Product Master'!$A:$J,5,FALSE),"")</f>
        <v/>
      </c>
      <c r="J89" s="78"/>
      <c r="K89" s="79" t="str">
        <f t="shared" si="0"/>
        <v/>
      </c>
      <c r="L89" s="80" t="str">
        <f t="shared" si="1"/>
        <v/>
      </c>
      <c r="M89" s="81" t="e">
        <f t="shared" si="2"/>
        <v>#VALUE!</v>
      </c>
      <c r="N89" s="106">
        <f>IF('Dash Board'!$C$17="Error Pls Fill in the Details",0,IFERROR((G89*M89),""))</f>
        <v>0</v>
      </c>
      <c r="O89" s="82" t="str">
        <f>IFERROR(VLOOKUP(B89,'Product Master'!$A:$J,7,FALSE),"")</f>
        <v/>
      </c>
    </row>
    <row r="90" spans="1:15" ht="27" customHeight="1" x14ac:dyDescent="0.5">
      <c r="A90" s="72">
        <v>66</v>
      </c>
      <c r="B90" s="95"/>
      <c r="C90" s="76" t="str">
        <f>IFERROR(VLOOKUP(B90,'Product Master'!$A:$J,2,FALSE),"")</f>
        <v/>
      </c>
      <c r="D90" s="77" t="str">
        <f>IFERROR(VLOOKUP(B90,'Product Master'!$A:$J,3,FALSE),"")</f>
        <v/>
      </c>
      <c r="E90" s="76" t="str">
        <f>IFERROR(VLOOKUP(B90,'Product Master'!$A:$J,6,FALSE),"")</f>
        <v/>
      </c>
      <c r="F90" s="77" t="str">
        <f>IFERROR(VLOOKUP(B90,'Product Master'!$A:$J,4,FALSE),"")</f>
        <v/>
      </c>
      <c r="G90" s="51"/>
      <c r="H90" s="77" t="str">
        <f>IFERROR(VLOOKUP(B90,'Product Master'!$A:$J,8,FALSE),"")</f>
        <v/>
      </c>
      <c r="I90" s="93" t="str">
        <f>IFERROR(VLOOKUP(B90,'Product Master'!$A:$J,5,FALSE),"")</f>
        <v/>
      </c>
      <c r="J90" s="78"/>
      <c r="K90" s="79" t="str">
        <f t="shared" ref="K90:K99" si="3">IF(ISBLANK($J90),"",$C$17)</f>
        <v/>
      </c>
      <c r="L90" s="80" t="str">
        <f t="shared" ref="L90:L99" si="4">IFERROR(J90+(100%-J90)*K90,"")</f>
        <v/>
      </c>
      <c r="M90" s="81" t="e">
        <f t="shared" ref="M90:M99" si="5">ROUNDUP(IFERROR(I90-(I90*L90),""),2)</f>
        <v>#VALUE!</v>
      </c>
      <c r="N90" s="106">
        <f>IF('Dash Board'!$C$17="Error Pls Fill in the Details",0,IFERROR((G90*M90),""))</f>
        <v>0</v>
      </c>
      <c r="O90" s="82" t="str">
        <f>IFERROR(VLOOKUP(B90,'Product Master'!$A:$J,7,FALSE),"")</f>
        <v/>
      </c>
    </row>
    <row r="91" spans="1:15" ht="27" customHeight="1" x14ac:dyDescent="0.5">
      <c r="A91" s="72">
        <v>67</v>
      </c>
      <c r="B91" s="95"/>
      <c r="C91" s="76" t="str">
        <f>IFERROR(VLOOKUP(B91,'Product Master'!$A:$J,2,FALSE),"")</f>
        <v/>
      </c>
      <c r="D91" s="77" t="str">
        <f>IFERROR(VLOOKUP(B91,'Product Master'!$A:$J,3,FALSE),"")</f>
        <v/>
      </c>
      <c r="E91" s="76" t="str">
        <f>IFERROR(VLOOKUP(B91,'Product Master'!$A:$J,6,FALSE),"")</f>
        <v/>
      </c>
      <c r="F91" s="77" t="str">
        <f>IFERROR(VLOOKUP(B91,'Product Master'!$A:$J,4,FALSE),"")</f>
        <v/>
      </c>
      <c r="G91" s="51"/>
      <c r="H91" s="77" t="str">
        <f>IFERROR(VLOOKUP(B91,'Product Master'!$A:$J,8,FALSE),"")</f>
        <v/>
      </c>
      <c r="I91" s="93" t="str">
        <f>IFERROR(VLOOKUP(B91,'Product Master'!$A:$J,5,FALSE),"")</f>
        <v/>
      </c>
      <c r="J91" s="78"/>
      <c r="K91" s="79" t="str">
        <f t="shared" si="3"/>
        <v/>
      </c>
      <c r="L91" s="80" t="str">
        <f t="shared" si="4"/>
        <v/>
      </c>
      <c r="M91" s="81" t="e">
        <f t="shared" si="5"/>
        <v>#VALUE!</v>
      </c>
      <c r="N91" s="106">
        <f>IF('Dash Board'!$C$17="Error Pls Fill in the Details",0,IFERROR((G91*M91),""))</f>
        <v>0</v>
      </c>
      <c r="O91" s="82" t="str">
        <f>IFERROR(VLOOKUP(B91,'Product Master'!$A:$J,7,FALSE),"")</f>
        <v/>
      </c>
    </row>
    <row r="92" spans="1:15" ht="27" customHeight="1" x14ac:dyDescent="0.5">
      <c r="A92" s="72">
        <v>68</v>
      </c>
      <c r="B92" s="95"/>
      <c r="C92" s="76" t="str">
        <f>IFERROR(VLOOKUP(B92,'Product Master'!$A:$J,2,FALSE),"")</f>
        <v/>
      </c>
      <c r="D92" s="77" t="str">
        <f>IFERROR(VLOOKUP(B92,'Product Master'!$A:$J,3,FALSE),"")</f>
        <v/>
      </c>
      <c r="E92" s="76" t="str">
        <f>IFERROR(VLOOKUP(B92,'Product Master'!$A:$J,6,FALSE),"")</f>
        <v/>
      </c>
      <c r="F92" s="77" t="str">
        <f>IFERROR(VLOOKUP(B92,'Product Master'!$A:$J,4,FALSE),"")</f>
        <v/>
      </c>
      <c r="G92" s="51"/>
      <c r="H92" s="77" t="str">
        <f>IFERROR(VLOOKUP(B92,'Product Master'!$A:$J,8,FALSE),"")</f>
        <v/>
      </c>
      <c r="I92" s="93" t="str">
        <f>IFERROR(VLOOKUP(B92,'Product Master'!$A:$J,5,FALSE),"")</f>
        <v/>
      </c>
      <c r="J92" s="78"/>
      <c r="K92" s="79" t="str">
        <f t="shared" si="3"/>
        <v/>
      </c>
      <c r="L92" s="80" t="str">
        <f t="shared" si="4"/>
        <v/>
      </c>
      <c r="M92" s="81" t="e">
        <f t="shared" si="5"/>
        <v>#VALUE!</v>
      </c>
      <c r="N92" s="106">
        <f>IF('Dash Board'!$C$17="Error Pls Fill in the Details",0,IFERROR((G92*M92),""))</f>
        <v>0</v>
      </c>
      <c r="O92" s="82" t="str">
        <f>IFERROR(VLOOKUP(B92,'Product Master'!$A:$J,7,FALSE),"")</f>
        <v/>
      </c>
    </row>
    <row r="93" spans="1:15" ht="27" customHeight="1" x14ac:dyDescent="0.5">
      <c r="A93" s="72">
        <v>69</v>
      </c>
      <c r="B93" s="95"/>
      <c r="C93" s="76" t="str">
        <f>IFERROR(VLOOKUP(B93,'Product Master'!$A:$J,2,FALSE),"")</f>
        <v/>
      </c>
      <c r="D93" s="77" t="str">
        <f>IFERROR(VLOOKUP(B93,'Product Master'!$A:$J,3,FALSE),"")</f>
        <v/>
      </c>
      <c r="E93" s="76" t="str">
        <f>IFERROR(VLOOKUP(B93,'Product Master'!$A:$J,6,FALSE),"")</f>
        <v/>
      </c>
      <c r="F93" s="77" t="str">
        <f>IFERROR(VLOOKUP(B93,'Product Master'!$A:$J,4,FALSE),"")</f>
        <v/>
      </c>
      <c r="G93" s="51"/>
      <c r="H93" s="77" t="str">
        <f>IFERROR(VLOOKUP(B93,'Product Master'!$A:$J,8,FALSE),"")</f>
        <v/>
      </c>
      <c r="I93" s="93" t="str">
        <f>IFERROR(VLOOKUP(B93,'Product Master'!$A:$J,5,FALSE),"")</f>
        <v/>
      </c>
      <c r="J93" s="78"/>
      <c r="K93" s="79" t="str">
        <f t="shared" si="3"/>
        <v/>
      </c>
      <c r="L93" s="80" t="str">
        <f t="shared" si="4"/>
        <v/>
      </c>
      <c r="M93" s="81" t="e">
        <f t="shared" si="5"/>
        <v>#VALUE!</v>
      </c>
      <c r="N93" s="106">
        <f>IF('Dash Board'!$C$17="Error Pls Fill in the Details",0,IFERROR((G93*M93),""))</f>
        <v>0</v>
      </c>
      <c r="O93" s="82" t="str">
        <f>IFERROR(VLOOKUP(B93,'Product Master'!$A:$J,7,FALSE),"")</f>
        <v/>
      </c>
    </row>
    <row r="94" spans="1:15" ht="27" customHeight="1" x14ac:dyDescent="0.5">
      <c r="A94" s="72">
        <v>70</v>
      </c>
      <c r="B94" s="95"/>
      <c r="C94" s="76" t="str">
        <f>IFERROR(VLOOKUP(B94,'Product Master'!$A:$J,2,FALSE),"")</f>
        <v/>
      </c>
      <c r="D94" s="77" t="str">
        <f>IFERROR(VLOOKUP(B94,'Product Master'!$A:$J,3,FALSE),"")</f>
        <v/>
      </c>
      <c r="E94" s="76" t="str">
        <f>IFERROR(VLOOKUP(B94,'Product Master'!$A:$J,6,FALSE),"")</f>
        <v/>
      </c>
      <c r="F94" s="77" t="str">
        <f>IFERROR(VLOOKUP(B94,'Product Master'!$A:$J,4,FALSE),"")</f>
        <v/>
      </c>
      <c r="G94" s="51"/>
      <c r="H94" s="77" t="str">
        <f>IFERROR(VLOOKUP(B94,'Product Master'!$A:$J,8,FALSE),"")</f>
        <v/>
      </c>
      <c r="I94" s="93" t="str">
        <f>IFERROR(VLOOKUP(B94,'Product Master'!$A:$J,5,FALSE),"")</f>
        <v/>
      </c>
      <c r="J94" s="78"/>
      <c r="K94" s="79" t="str">
        <f t="shared" si="3"/>
        <v/>
      </c>
      <c r="L94" s="80" t="str">
        <f t="shared" si="4"/>
        <v/>
      </c>
      <c r="M94" s="81" t="e">
        <f t="shared" si="5"/>
        <v>#VALUE!</v>
      </c>
      <c r="N94" s="106">
        <f>IF('Dash Board'!$C$17="Error Pls Fill in the Details",0,IFERROR((G94*M94),""))</f>
        <v>0</v>
      </c>
      <c r="O94" s="82" t="str">
        <f>IFERROR(VLOOKUP(B94,'Product Master'!$A:$J,7,FALSE),"")</f>
        <v/>
      </c>
    </row>
    <row r="95" spans="1:15" ht="27" customHeight="1" x14ac:dyDescent="0.5">
      <c r="A95" s="72">
        <v>71</v>
      </c>
      <c r="B95" s="95"/>
      <c r="C95" s="76" t="str">
        <f>IFERROR(VLOOKUP(B95,'Product Master'!$A:$J,2,FALSE),"")</f>
        <v/>
      </c>
      <c r="D95" s="77" t="str">
        <f>IFERROR(VLOOKUP(B95,'Product Master'!$A:$J,3,FALSE),"")</f>
        <v/>
      </c>
      <c r="E95" s="76" t="str">
        <f>IFERROR(VLOOKUP(B95,'Product Master'!$A:$J,6,FALSE),"")</f>
        <v/>
      </c>
      <c r="F95" s="77" t="str">
        <f>IFERROR(VLOOKUP(B95,'Product Master'!$A:$J,4,FALSE),"")</f>
        <v/>
      </c>
      <c r="G95" s="51"/>
      <c r="H95" s="77" t="str">
        <f>IFERROR(VLOOKUP(B95,'Product Master'!$A:$J,8,FALSE),"")</f>
        <v/>
      </c>
      <c r="I95" s="93" t="str">
        <f>IFERROR(VLOOKUP(B95,'Product Master'!$A:$J,5,FALSE),"")</f>
        <v/>
      </c>
      <c r="J95" s="78"/>
      <c r="K95" s="79" t="str">
        <f t="shared" si="3"/>
        <v/>
      </c>
      <c r="L95" s="80" t="str">
        <f t="shared" si="4"/>
        <v/>
      </c>
      <c r="M95" s="81" t="e">
        <f t="shared" si="5"/>
        <v>#VALUE!</v>
      </c>
      <c r="N95" s="106">
        <f>IF('Dash Board'!$C$17="Error Pls Fill in the Details",0,IFERROR((G95*M95),""))</f>
        <v>0</v>
      </c>
      <c r="O95" s="82" t="str">
        <f>IFERROR(VLOOKUP(B95,'Product Master'!$A:$J,7,FALSE),"")</f>
        <v/>
      </c>
    </row>
    <row r="96" spans="1:15" ht="27" customHeight="1" x14ac:dyDescent="0.5">
      <c r="A96" s="72">
        <v>72</v>
      </c>
      <c r="B96" s="95"/>
      <c r="C96" s="76" t="str">
        <f>IFERROR(VLOOKUP(B96,'Product Master'!$A:$J,2,FALSE),"")</f>
        <v/>
      </c>
      <c r="D96" s="77" t="str">
        <f>IFERROR(VLOOKUP(B96,'Product Master'!$A:$J,3,FALSE),"")</f>
        <v/>
      </c>
      <c r="E96" s="76" t="str">
        <f>IFERROR(VLOOKUP(B96,'Product Master'!$A:$J,6,FALSE),"")</f>
        <v/>
      </c>
      <c r="F96" s="77" t="str">
        <f>IFERROR(VLOOKUP(B96,'Product Master'!$A:$J,4,FALSE),"")</f>
        <v/>
      </c>
      <c r="G96" s="51"/>
      <c r="H96" s="77" t="str">
        <f>IFERROR(VLOOKUP(B96,'Product Master'!$A:$J,8,FALSE),"")</f>
        <v/>
      </c>
      <c r="I96" s="93" t="str">
        <f>IFERROR(VLOOKUP(B96,'Product Master'!$A:$J,5,FALSE),"")</f>
        <v/>
      </c>
      <c r="J96" s="78"/>
      <c r="K96" s="79" t="str">
        <f t="shared" si="3"/>
        <v/>
      </c>
      <c r="L96" s="80" t="str">
        <f t="shared" si="4"/>
        <v/>
      </c>
      <c r="M96" s="81" t="e">
        <f t="shared" si="5"/>
        <v>#VALUE!</v>
      </c>
      <c r="N96" s="106">
        <f>IF('Dash Board'!$C$17="Error Pls Fill in the Details",0,IFERROR((G96*M96),""))</f>
        <v>0</v>
      </c>
      <c r="O96" s="82" t="str">
        <f>IFERROR(VLOOKUP(B96,'Product Master'!$A:$J,7,FALSE),"")</f>
        <v/>
      </c>
    </row>
    <row r="97" spans="1:15" ht="27" customHeight="1" x14ac:dyDescent="0.5">
      <c r="A97" s="72">
        <v>73</v>
      </c>
      <c r="B97" s="95"/>
      <c r="C97" s="76" t="str">
        <f>IFERROR(VLOOKUP(B97,'Product Master'!$A:$J,2,FALSE),"")</f>
        <v/>
      </c>
      <c r="D97" s="77" t="str">
        <f>IFERROR(VLOOKUP(B97,'Product Master'!$A:$J,3,FALSE),"")</f>
        <v/>
      </c>
      <c r="E97" s="76" t="str">
        <f>IFERROR(VLOOKUP(B97,'Product Master'!$A:$J,6,FALSE),"")</f>
        <v/>
      </c>
      <c r="F97" s="77" t="str">
        <f>IFERROR(VLOOKUP(B97,'Product Master'!$A:$J,4,FALSE),"")</f>
        <v/>
      </c>
      <c r="G97" s="51"/>
      <c r="H97" s="77" t="str">
        <f>IFERROR(VLOOKUP(B97,'Product Master'!$A:$J,8,FALSE),"")</f>
        <v/>
      </c>
      <c r="I97" s="93" t="str">
        <f>IFERROR(VLOOKUP(B97,'Product Master'!$A:$J,5,FALSE),"")</f>
        <v/>
      </c>
      <c r="J97" s="78"/>
      <c r="K97" s="79" t="str">
        <f t="shared" si="3"/>
        <v/>
      </c>
      <c r="L97" s="80" t="str">
        <f t="shared" si="4"/>
        <v/>
      </c>
      <c r="M97" s="81" t="e">
        <f t="shared" si="5"/>
        <v>#VALUE!</v>
      </c>
      <c r="N97" s="106">
        <f>IF('Dash Board'!$C$17="Error Pls Fill in the Details",0,IFERROR((G97*M97),""))</f>
        <v>0</v>
      </c>
      <c r="O97" s="82" t="str">
        <f>IFERROR(VLOOKUP(B97,'Product Master'!$A:$J,7,FALSE),"")</f>
        <v/>
      </c>
    </row>
    <row r="98" spans="1:15" ht="27" customHeight="1" x14ac:dyDescent="0.5">
      <c r="A98" s="72">
        <v>74</v>
      </c>
      <c r="B98" s="95"/>
      <c r="C98" s="76" t="str">
        <f>IFERROR(VLOOKUP(B98,'Product Master'!$A:$J,2,FALSE),"")</f>
        <v/>
      </c>
      <c r="D98" s="77" t="str">
        <f>IFERROR(VLOOKUP(B98,'Product Master'!$A:$J,3,FALSE),"")</f>
        <v/>
      </c>
      <c r="E98" s="76" t="str">
        <f>IFERROR(VLOOKUP(B98,'Product Master'!$A:$J,6,FALSE),"")</f>
        <v/>
      </c>
      <c r="F98" s="77" t="str">
        <f>IFERROR(VLOOKUP(B98,'Product Master'!$A:$J,4,FALSE),"")</f>
        <v/>
      </c>
      <c r="G98" s="51"/>
      <c r="H98" s="77" t="str">
        <f>IFERROR(VLOOKUP(B98,'Product Master'!$A:$J,8,FALSE),"")</f>
        <v/>
      </c>
      <c r="I98" s="93" t="str">
        <f>IFERROR(VLOOKUP(B98,'Product Master'!$A:$J,5,FALSE),"")</f>
        <v/>
      </c>
      <c r="J98" s="78"/>
      <c r="K98" s="79" t="str">
        <f t="shared" si="3"/>
        <v/>
      </c>
      <c r="L98" s="80" t="str">
        <f t="shared" si="4"/>
        <v/>
      </c>
      <c r="M98" s="81" t="e">
        <f t="shared" si="5"/>
        <v>#VALUE!</v>
      </c>
      <c r="N98" s="106">
        <f>IF('Dash Board'!$C$17="Error Pls Fill in the Details",0,IFERROR((G98*M98),""))</f>
        <v>0</v>
      </c>
      <c r="O98" s="82" t="str">
        <f>IFERROR(VLOOKUP(B98,'Product Master'!$A:$J,7,FALSE),"")</f>
        <v/>
      </c>
    </row>
    <row r="99" spans="1:15" ht="27" customHeight="1" thickBot="1" x14ac:dyDescent="0.55000000000000004">
      <c r="A99" s="101">
        <v>75</v>
      </c>
      <c r="B99" s="95"/>
      <c r="C99" s="76" t="str">
        <f>IFERROR(VLOOKUP(B99,'Product Master'!$A:$J,2,FALSE),"")</f>
        <v/>
      </c>
      <c r="D99" s="77" t="str">
        <f>IFERROR(VLOOKUP(B99,'Product Master'!$A:$J,3,FALSE),"")</f>
        <v/>
      </c>
      <c r="E99" s="76" t="str">
        <f>IFERROR(VLOOKUP(B99,'Product Master'!$A:$J,6,FALSE),"")</f>
        <v/>
      </c>
      <c r="F99" s="77" t="str">
        <f>IFERROR(VLOOKUP(B99,'Product Master'!$A:$J,4,FALSE),"")</f>
        <v/>
      </c>
      <c r="G99" s="51"/>
      <c r="H99" s="77" t="str">
        <f>IFERROR(VLOOKUP(B99,'Product Master'!$A:$J,8,FALSE),"")</f>
        <v/>
      </c>
      <c r="I99" s="93" t="str">
        <f>IFERROR(VLOOKUP(B99,'Product Master'!$A:$J,5,FALSE),"")</f>
        <v/>
      </c>
      <c r="J99" s="78"/>
      <c r="K99" s="79" t="str">
        <f t="shared" si="3"/>
        <v/>
      </c>
      <c r="L99" s="80" t="str">
        <f t="shared" si="4"/>
        <v/>
      </c>
      <c r="M99" s="81" t="e">
        <f t="shared" si="5"/>
        <v>#VALUE!</v>
      </c>
      <c r="N99" s="106">
        <f>IF('Dash Board'!$C$17="Error Pls Fill in the Details",0,IFERROR((G99*M99),""))</f>
        <v>0</v>
      </c>
      <c r="O99" s="82" t="str">
        <f>IFERROR(VLOOKUP(B99,'Product Master'!$A:$J,7,FALSE),"")</f>
        <v/>
      </c>
    </row>
    <row r="100" spans="1:15" ht="21.5" thickBot="1" x14ac:dyDescent="0.55000000000000004">
      <c r="A100" s="125"/>
      <c r="B100" s="126"/>
      <c r="C100" s="126"/>
      <c r="D100" s="126"/>
      <c r="E100" s="126"/>
      <c r="F100" s="127"/>
      <c r="G100" s="134" t="s">
        <v>520</v>
      </c>
      <c r="H100" s="135"/>
      <c r="I100" s="135"/>
      <c r="J100" s="135"/>
      <c r="K100" s="135"/>
      <c r="L100" s="135"/>
      <c r="M100" s="136"/>
      <c r="N100" s="105">
        <f>SUM(N25:N99)</f>
        <v>0</v>
      </c>
      <c r="O100" s="2"/>
    </row>
    <row r="101" spans="1:15" ht="21.5" thickBot="1" x14ac:dyDescent="0.55000000000000004">
      <c r="A101" s="128"/>
      <c r="B101" s="129"/>
      <c r="C101" s="129"/>
      <c r="D101" s="129"/>
      <c r="E101" s="129"/>
      <c r="F101" s="130"/>
      <c r="G101" s="137" t="s">
        <v>521</v>
      </c>
      <c r="H101" s="138"/>
      <c r="I101" s="138"/>
      <c r="J101" s="138"/>
      <c r="K101" s="138"/>
      <c r="L101" s="138"/>
      <c r="M101" s="139"/>
      <c r="N101" s="105">
        <f>N100*18%</f>
        <v>0</v>
      </c>
      <c r="O101" s="2"/>
    </row>
    <row r="102" spans="1:15" ht="21.5" thickBot="1" x14ac:dyDescent="0.55000000000000004">
      <c r="A102" s="131"/>
      <c r="B102" s="132"/>
      <c r="C102" s="132"/>
      <c r="D102" s="132"/>
      <c r="E102" s="132"/>
      <c r="F102" s="133"/>
      <c r="G102" s="134" t="s">
        <v>522</v>
      </c>
      <c r="H102" s="135"/>
      <c r="I102" s="135"/>
      <c r="J102" s="135"/>
      <c r="K102" s="135"/>
      <c r="L102" s="135"/>
      <c r="M102" s="136"/>
      <c r="N102" s="105">
        <f>N101+N100</f>
        <v>0</v>
      </c>
      <c r="O102" s="2"/>
    </row>
  </sheetData>
  <sheetProtection algorithmName="SHA-512" hashValue="EmpCYlg5ff/NwveIxyPXtatj01SiF2Ek3r2a8AW+nqmpOf48Iho8swAsvBQsyfjCaImsWjSTJ5nj+5+hHOWm6A==" saltValue="VIoAPnR6/PCpXleG6+v2ww==" spinCount="100000" sheet="1" formatCells="0"/>
  <protectedRanges>
    <protectedRange algorithmName="SHA-512" hashValue="Yzr8qDa9sgsEqcR4CgV28sSeFGIu6Alq6xwBvJAIY7jOyHZ3/PEzAYVVgYS0N7bahGydX0tFG0BP8HogbPsxEQ==" saltValue="Lxx4uX2+o6FUMTbvJw7Q5Q==" spinCount="100000" sqref="C6:C9 F6:G9 J6:J9 N6:N9 C11:G16 D20:G21 C22:N22 K20:N21 C17:N19 I11:N16 G25:G99 B25:B99 J25:J99" name="Range1"/>
  </protectedRanges>
  <mergeCells count="64">
    <mergeCell ref="A17:B17"/>
    <mergeCell ref="A18:B18"/>
    <mergeCell ref="A19:B19"/>
    <mergeCell ref="D17:N17"/>
    <mergeCell ref="D18:N18"/>
    <mergeCell ref="D19:N19"/>
    <mergeCell ref="A20:C20"/>
    <mergeCell ref="A21:C21"/>
    <mergeCell ref="O23:O24"/>
    <mergeCell ref="D20:G20"/>
    <mergeCell ref="H20:J20"/>
    <mergeCell ref="K20:N20"/>
    <mergeCell ref="D21:G21"/>
    <mergeCell ref="H21:J21"/>
    <mergeCell ref="K21:N21"/>
    <mergeCell ref="A22:B22"/>
    <mergeCell ref="C22:N22"/>
    <mergeCell ref="N23:N24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J23:L23"/>
    <mergeCell ref="M23:M24"/>
    <mergeCell ref="A1:C4"/>
    <mergeCell ref="D1:K2"/>
    <mergeCell ref="L1:M1"/>
    <mergeCell ref="K9:M9"/>
    <mergeCell ref="A10:G10"/>
    <mergeCell ref="H10:N10"/>
    <mergeCell ref="H9:I9"/>
    <mergeCell ref="K8:M8"/>
    <mergeCell ref="H8:I8"/>
    <mergeCell ref="A8:B8"/>
    <mergeCell ref="D9:E9"/>
    <mergeCell ref="F8:G8"/>
    <mergeCell ref="F9:G9"/>
    <mergeCell ref="A9:B9"/>
    <mergeCell ref="K6:M6"/>
    <mergeCell ref="F6:G6"/>
    <mergeCell ref="F7:G7"/>
    <mergeCell ref="D6:E6"/>
    <mergeCell ref="D7:E7"/>
    <mergeCell ref="L2:M2"/>
    <mergeCell ref="D3:K3"/>
    <mergeCell ref="L3:M3"/>
    <mergeCell ref="A100:F102"/>
    <mergeCell ref="G100:M100"/>
    <mergeCell ref="G101:M101"/>
    <mergeCell ref="G102:M102"/>
    <mergeCell ref="D4:K4"/>
    <mergeCell ref="L4:M4"/>
    <mergeCell ref="A5:N5"/>
    <mergeCell ref="H6:I6"/>
    <mergeCell ref="H7:I7"/>
    <mergeCell ref="A6:B6"/>
    <mergeCell ref="A7:B7"/>
    <mergeCell ref="D8:E8"/>
    <mergeCell ref="K7:M7"/>
  </mergeCells>
  <conditionalFormatting sqref="B25:B99">
    <cfRule type="duplicateValues" dxfId="128" priority="73"/>
  </conditionalFormatting>
  <conditionalFormatting sqref="B29 B35:B38 B33">
    <cfRule type="duplicateValues" dxfId="127" priority="71"/>
  </conditionalFormatting>
  <conditionalFormatting sqref="B29">
    <cfRule type="duplicateValues" dxfId="126" priority="74"/>
  </conditionalFormatting>
  <conditionalFormatting sqref="B30">
    <cfRule type="duplicateValues" dxfId="125" priority="22"/>
  </conditionalFormatting>
  <conditionalFormatting sqref="B31:B32">
    <cfRule type="duplicateValues" dxfId="124" priority="11"/>
  </conditionalFormatting>
  <conditionalFormatting sqref="B34">
    <cfRule type="duplicateValues" dxfId="123" priority="23"/>
  </conditionalFormatting>
  <conditionalFormatting sqref="B37:B40">
    <cfRule type="duplicateValues" dxfId="122" priority="64"/>
    <cfRule type="duplicateValues" dxfId="121" priority="69"/>
  </conditionalFormatting>
  <conditionalFormatting sqref="B37:B43">
    <cfRule type="duplicateValues" dxfId="120" priority="67"/>
  </conditionalFormatting>
  <conditionalFormatting sqref="B44:B45">
    <cfRule type="duplicateValues" dxfId="119" priority="35"/>
  </conditionalFormatting>
  <conditionalFormatting sqref="B47">
    <cfRule type="duplicateValues" dxfId="118" priority="34"/>
  </conditionalFormatting>
  <conditionalFormatting sqref="B48 B45:B46">
    <cfRule type="duplicateValues" dxfId="117" priority="61"/>
  </conditionalFormatting>
  <conditionalFormatting sqref="B49">
    <cfRule type="duplicateValues" dxfId="116" priority="30"/>
  </conditionalFormatting>
  <conditionalFormatting sqref="B50">
    <cfRule type="duplicateValues" dxfId="115" priority="28"/>
  </conditionalFormatting>
  <conditionalFormatting sqref="B51">
    <cfRule type="duplicateValues" dxfId="114" priority="25"/>
    <cfRule type="duplicateValues" dxfId="113" priority="27"/>
  </conditionalFormatting>
  <conditionalFormatting sqref="B51:B52 B56:B59">
    <cfRule type="duplicateValues" dxfId="112" priority="59"/>
  </conditionalFormatting>
  <conditionalFormatting sqref="B51:B52">
    <cfRule type="duplicateValues" dxfId="111" priority="26"/>
  </conditionalFormatting>
  <conditionalFormatting sqref="B53">
    <cfRule type="duplicateValues" dxfId="110" priority="21"/>
  </conditionalFormatting>
  <conditionalFormatting sqref="B54:B55">
    <cfRule type="duplicateValues" dxfId="109" priority="20"/>
  </conditionalFormatting>
  <conditionalFormatting sqref="B57:B62">
    <cfRule type="duplicateValues" dxfId="108" priority="55"/>
  </conditionalFormatting>
  <conditionalFormatting sqref="B58:B62">
    <cfRule type="duplicateValues" dxfId="107" priority="58"/>
  </conditionalFormatting>
  <conditionalFormatting sqref="B61">
    <cfRule type="duplicateValues" dxfId="106" priority="16"/>
  </conditionalFormatting>
  <conditionalFormatting sqref="B63:B64">
    <cfRule type="duplicateValues" dxfId="105" priority="52"/>
  </conditionalFormatting>
  <conditionalFormatting sqref="B65:B66">
    <cfRule type="duplicateValues" dxfId="104" priority="14"/>
    <cfRule type="duplicateValues" dxfId="103" priority="15"/>
  </conditionalFormatting>
  <conditionalFormatting sqref="B67">
    <cfRule type="duplicateValues" dxfId="102" priority="53"/>
  </conditionalFormatting>
  <conditionalFormatting sqref="B68:B69">
    <cfRule type="duplicateValues" dxfId="101" priority="6"/>
  </conditionalFormatting>
  <conditionalFormatting sqref="B70:B71">
    <cfRule type="duplicateValues" dxfId="100" priority="4"/>
    <cfRule type="duplicateValues" dxfId="99" priority="5"/>
  </conditionalFormatting>
  <conditionalFormatting sqref="B72:B73">
    <cfRule type="duplicateValues" dxfId="98" priority="3"/>
  </conditionalFormatting>
  <conditionalFormatting sqref="B74:B75">
    <cfRule type="duplicateValues" dxfId="97" priority="1"/>
    <cfRule type="duplicateValues" dxfId="96" priority="2"/>
  </conditionalFormatting>
  <conditionalFormatting sqref="B76:B77">
    <cfRule type="duplicateValues" dxfId="95" priority="50"/>
  </conditionalFormatting>
  <conditionalFormatting sqref="B76:B78">
    <cfRule type="duplicateValues" dxfId="94" priority="46"/>
  </conditionalFormatting>
  <conditionalFormatting sqref="B76:B80">
    <cfRule type="duplicateValues" dxfId="93" priority="49"/>
  </conditionalFormatting>
  <conditionalFormatting sqref="B81:B84">
    <cfRule type="duplicateValues" dxfId="92" priority="43"/>
  </conditionalFormatting>
  <conditionalFormatting sqref="B85">
    <cfRule type="duplicateValues" dxfId="91" priority="44"/>
  </conditionalFormatting>
  <conditionalFormatting sqref="B86:B88">
    <cfRule type="duplicateValues" dxfId="90" priority="42"/>
  </conditionalFormatting>
  <conditionalFormatting sqref="B88:B90">
    <cfRule type="duplicateValues" dxfId="89" priority="39"/>
  </conditionalFormatting>
  <conditionalFormatting sqref="B89:B91">
    <cfRule type="duplicateValues" dxfId="88" priority="38"/>
  </conditionalFormatting>
  <conditionalFormatting sqref="B90">
    <cfRule type="duplicateValues" dxfId="87" priority="36"/>
  </conditionalFormatting>
  <conditionalFormatting sqref="B90:B95">
    <cfRule type="duplicateValues" dxfId="86" priority="41"/>
  </conditionalFormatting>
  <conditionalFormatting sqref="B93:B96">
    <cfRule type="duplicateValues" dxfId="85" priority="37"/>
  </conditionalFormatting>
  <conditionalFormatting sqref="B94:B99">
    <cfRule type="duplicateValues" dxfId="84" priority="40"/>
  </conditionalFormatting>
  <conditionalFormatting sqref="G25:G99">
    <cfRule type="duplicateValues" dxfId="83" priority="201"/>
    <cfRule type="duplicateValues" dxfId="82" priority="213"/>
  </conditionalFormatting>
  <conditionalFormatting sqref="G26:G99">
    <cfRule type="duplicateValues" dxfId="81" priority="200"/>
    <cfRule type="duplicateValues" dxfId="80" priority="212"/>
  </conditionalFormatting>
  <conditionalFormatting sqref="G33:G35">
    <cfRule type="duplicateValues" dxfId="79" priority="206"/>
  </conditionalFormatting>
  <conditionalFormatting sqref="G33:G36">
    <cfRule type="duplicateValues" dxfId="78" priority="205"/>
  </conditionalFormatting>
  <conditionalFormatting sqref="G33:G37">
    <cfRule type="duplicateValues" dxfId="77" priority="204"/>
  </conditionalFormatting>
  <conditionalFormatting sqref="G34:G38">
    <cfRule type="duplicateValues" dxfId="76" priority="203"/>
  </conditionalFormatting>
  <conditionalFormatting sqref="G35:G40">
    <cfRule type="duplicateValues" dxfId="75" priority="202"/>
  </conditionalFormatting>
  <conditionalFormatting sqref="G36:G40">
    <cfRule type="duplicateValues" dxfId="74" priority="216"/>
  </conditionalFormatting>
  <conditionalFormatting sqref="G37:G41">
    <cfRule type="duplicateValues" dxfId="73" priority="215"/>
  </conditionalFormatting>
  <conditionalFormatting sqref="G38:G41">
    <cfRule type="duplicateValues" dxfId="72" priority="214"/>
  </conditionalFormatting>
  <conditionalFormatting sqref="G39:G42">
    <cfRule type="duplicateValues" dxfId="71" priority="269"/>
  </conditionalFormatting>
  <conditionalFormatting sqref="G39:G44">
    <cfRule type="duplicateValues" dxfId="70" priority="268"/>
  </conditionalFormatting>
  <conditionalFormatting sqref="G41:G45">
    <cfRule type="duplicateValues" dxfId="69" priority="267"/>
  </conditionalFormatting>
  <conditionalFormatting sqref="G42:G47">
    <cfRule type="duplicateValues" dxfId="68" priority="272"/>
  </conditionalFormatting>
  <conditionalFormatting sqref="G44:G48">
    <cfRule type="duplicateValues" dxfId="67" priority="252"/>
  </conditionalFormatting>
  <conditionalFormatting sqref="G46:G49">
    <cfRule type="duplicateValues" dxfId="66" priority="251"/>
  </conditionalFormatting>
  <conditionalFormatting sqref="G47:G50">
    <cfRule type="duplicateValues" dxfId="65" priority="266"/>
  </conditionalFormatting>
  <conditionalFormatting sqref="G48:G50">
    <cfRule type="duplicateValues" dxfId="64" priority="265"/>
  </conditionalFormatting>
  <conditionalFormatting sqref="G49:G51">
    <cfRule type="duplicateValues" dxfId="63" priority="256"/>
    <cfRule type="duplicateValues" dxfId="62" priority="264"/>
  </conditionalFormatting>
  <conditionalFormatting sqref="G50:G52">
    <cfRule type="duplicateValues" dxfId="61" priority="255"/>
    <cfRule type="duplicateValues" dxfId="60" priority="263"/>
  </conditionalFormatting>
  <conditionalFormatting sqref="G51:G53">
    <cfRule type="duplicateValues" dxfId="59" priority="254"/>
    <cfRule type="duplicateValues" dxfId="58" priority="262"/>
  </conditionalFormatting>
  <conditionalFormatting sqref="G52:G53">
    <cfRule type="duplicateValues" dxfId="57" priority="253"/>
    <cfRule type="duplicateValues" dxfId="56" priority="260"/>
    <cfRule type="duplicateValues" dxfId="55" priority="261"/>
  </conditionalFormatting>
  <conditionalFormatting sqref="G53:G54">
    <cfRule type="duplicateValues" dxfId="54" priority="259"/>
  </conditionalFormatting>
  <conditionalFormatting sqref="G54:G55">
    <cfRule type="duplicateValues" dxfId="53" priority="258"/>
  </conditionalFormatting>
  <conditionalFormatting sqref="G55:G56">
    <cfRule type="duplicateValues" dxfId="52" priority="257"/>
  </conditionalFormatting>
  <conditionalFormatting sqref="G56:G57">
    <cfRule type="duplicateValues" dxfId="51" priority="424"/>
    <cfRule type="duplicateValues" dxfId="50" priority="641"/>
  </conditionalFormatting>
  <conditionalFormatting sqref="O1:O4 O17:O22">
    <cfRule type="containsText" dxfId="49" priority="861" operator="containsText" text="Stock n Sale">
      <formula>NOT(ISERROR(SEARCH("Stock n Sale",O1)))</formula>
    </cfRule>
    <cfRule type="containsText" dxfId="48" priority="862" operator="containsText" text="Special Article">
      <formula>NOT(ISERROR(SEARCH("Special Article",O1)))</formula>
    </cfRule>
  </conditionalFormatting>
  <dataValidations count="3">
    <dataValidation type="whole" allowBlank="1" showInputMessage="1" showErrorMessage="1" sqref="C9" xr:uid="{C244C11F-924D-4936-ABD1-A64B96474BB5}">
      <formula1>0</formula1>
      <formula2>99999999999999900</formula2>
    </dataValidation>
    <dataValidation type="whole" allowBlank="1" showInputMessage="1" showErrorMessage="1" sqref="N9 K20:N20" xr:uid="{065CAE03-43DA-4490-B4D1-0F8704048D19}">
      <formula1>1111111111</formula1>
      <formula2>9999999999</formula2>
    </dataValidation>
    <dataValidation type="textLength" allowBlank="1" showInputMessage="1" showErrorMessage="1" sqref="F7:G7" xr:uid="{B05089BF-8D6C-40F7-AE08-B5E0852DC2DB}">
      <formula1>5</formula1>
      <formula2>99999</formula2>
    </dataValidation>
  </dataValidations>
  <pageMargins left="0.7" right="0.7" top="0.75" bottom="0.75" header="0.3" footer="0.3"/>
  <pageSetup paperSize="9" orientation="portrait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0000000-0002-0000-0100-000000000000}">
          <x14:formula1>
            <xm:f>'Data Validations'!$D$2:$D$9</xm:f>
          </x14:formula1>
          <xm:sqref>C7</xm:sqref>
        </x14:dataValidation>
        <x14:dataValidation type="list" allowBlank="1" showInputMessage="1" showErrorMessage="1" xr:uid="{00000000-0002-0000-0100-000001000000}">
          <x14:formula1>
            <xm:f>'Data Validations'!$H$2:$H$3</xm:f>
          </x14:formula1>
          <xm:sqref>C6</xm:sqref>
        </x14:dataValidation>
        <x14:dataValidation type="list" allowBlank="1" showInputMessage="1" showErrorMessage="1" xr:uid="{00000000-0002-0000-0100-000003000000}">
          <x14:formula1>
            <xm:f>'Data Validations'!$F$2:$F$5</xm:f>
          </x14:formula1>
          <xm:sqref>C18</xm:sqref>
        </x14:dataValidation>
        <x14:dataValidation type="list" allowBlank="1" showInputMessage="1" showErrorMessage="1" xr:uid="{1EADC41D-517D-4948-8F05-3A7D0B690316}">
          <x14:formula1>
            <xm:f>'Data Validations'!$E$2:$E$7</xm:f>
          </x14:formula1>
          <xm:sqref>F9:G9</xm:sqref>
        </x14:dataValidation>
        <x14:dataValidation type="list" allowBlank="1" showInputMessage="1" showErrorMessage="1" xr:uid="{00000000-0002-0000-0100-000004000000}">
          <x14:formula1>
            <xm:f>'Data Validations'!$B$2:$B$6</xm:f>
          </x14:formula1>
          <xm:sqref>C19</xm:sqref>
        </x14:dataValidation>
        <x14:dataValidation type="list" showInputMessage="1" showErrorMessage="1" xr:uid="{3BE15A76-7251-4E76-8EFE-7105E20843EE}">
          <x14:formula1>
            <xm:f>'Data Validations'!$K$2:$K$4</xm:f>
          </x14:formula1>
          <xm:sqref>J7</xm:sqref>
        </x14:dataValidation>
        <x14:dataValidation type="list" allowBlank="1" showInputMessage="1" showErrorMessage="1" xr:uid="{FE0A4B46-73DC-4133-8CE9-E8894A948F23}">
          <x14:formula1>
            <xm:f>'Data Validations'!$M$1:$M$77</xm:f>
          </x14:formula1>
          <xm:sqref>J25:J99</xm:sqref>
        </x14:dataValidation>
        <x14:dataValidation type="list" allowBlank="1" showInputMessage="1" showErrorMessage="1" xr:uid="{47D0B648-5F49-409B-AEA5-F9544BBA23B1}">
          <x14:formula1>
            <xm:f>'Product Master'!$A2:$A1469</xm:f>
          </x14:formula1>
          <xm:sqref>B25:B99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92016-0F35-4CDE-A377-5DA9D7041174}">
  <sheetPr codeName="Sheet1"/>
  <dimension ref="A1:O77"/>
  <sheetViews>
    <sheetView showGridLines="0" workbookViewId="0"/>
  </sheetViews>
  <sheetFormatPr defaultRowHeight="14.5" x14ac:dyDescent="0.35"/>
  <cols>
    <col min="1" max="1" width="23.26953125" bestFit="1" customWidth="1"/>
    <col min="2" max="2" width="35.1796875" bestFit="1" customWidth="1"/>
    <col min="3" max="3" width="18.54296875" bestFit="1" customWidth="1"/>
    <col min="4" max="4" width="32.7265625" bestFit="1" customWidth="1"/>
    <col min="5" max="5" width="32.7265625" customWidth="1"/>
    <col min="6" max="6" width="20.81640625" bestFit="1" customWidth="1"/>
    <col min="7" max="7" width="15.7265625" bestFit="1" customWidth="1"/>
    <col min="8" max="8" width="14.26953125" bestFit="1" customWidth="1"/>
    <col min="9" max="9" width="9" customWidth="1"/>
    <col min="10" max="10" width="10.7265625" bestFit="1" customWidth="1"/>
    <col min="11" max="11" width="13" bestFit="1" customWidth="1"/>
    <col min="12" max="12" width="18.08984375" bestFit="1" customWidth="1"/>
  </cols>
  <sheetData>
    <row r="1" spans="1:13" s="61" customFormat="1" x14ac:dyDescent="0.35">
      <c r="A1" s="59" t="s">
        <v>2549</v>
      </c>
      <c r="B1" s="60" t="s">
        <v>2550</v>
      </c>
      <c r="C1" s="59" t="s">
        <v>2551</v>
      </c>
      <c r="D1" s="59" t="s">
        <v>2552</v>
      </c>
      <c r="E1" s="59" t="s">
        <v>2553</v>
      </c>
      <c r="F1" s="60" t="s">
        <v>2554</v>
      </c>
      <c r="G1" s="59" t="s">
        <v>2555</v>
      </c>
      <c r="H1" s="59" t="s">
        <v>2556</v>
      </c>
      <c r="I1" s="59" t="s">
        <v>2557</v>
      </c>
      <c r="J1" s="61" t="s">
        <v>2558</v>
      </c>
      <c r="K1" s="61" t="s">
        <v>2633</v>
      </c>
      <c r="L1" s="61" t="s">
        <v>2969</v>
      </c>
      <c r="M1" s="107">
        <v>0</v>
      </c>
    </row>
    <row r="2" spans="1:13" x14ac:dyDescent="0.35">
      <c r="A2" s="62" t="s">
        <v>2622</v>
      </c>
      <c r="B2" s="63" t="s">
        <v>2559</v>
      </c>
      <c r="C2" s="62" t="s">
        <v>2560</v>
      </c>
      <c r="D2" s="62" t="s">
        <v>1</v>
      </c>
      <c r="E2" s="62" t="s">
        <v>2561</v>
      </c>
      <c r="F2" s="63" t="s">
        <v>2562</v>
      </c>
      <c r="G2" s="62" t="s">
        <v>2563</v>
      </c>
      <c r="H2" s="62" t="s">
        <v>2564</v>
      </c>
      <c r="I2" s="74">
        <v>0</v>
      </c>
      <c r="J2" s="64">
        <v>45292</v>
      </c>
      <c r="K2" s="83" t="s">
        <v>2634</v>
      </c>
      <c r="L2" s="83" t="s">
        <v>2970</v>
      </c>
      <c r="M2" s="107">
        <v>0.01</v>
      </c>
    </row>
    <row r="3" spans="1:13" x14ac:dyDescent="0.35">
      <c r="A3" s="62" t="s">
        <v>2565</v>
      </c>
      <c r="B3" t="s">
        <v>2617</v>
      </c>
      <c r="C3" s="62" t="s">
        <v>2566</v>
      </c>
      <c r="D3" s="62" t="s">
        <v>4</v>
      </c>
      <c r="E3" s="62" t="s">
        <v>2567</v>
      </c>
      <c r="F3" s="63" t="s">
        <v>2568</v>
      </c>
      <c r="G3" s="62" t="s">
        <v>2569</v>
      </c>
      <c r="H3" s="62" t="s">
        <v>2570</v>
      </c>
      <c r="I3" s="74">
        <v>0.03</v>
      </c>
      <c r="J3" s="64">
        <v>49674</v>
      </c>
      <c r="K3" s="83" t="s">
        <v>2635</v>
      </c>
      <c r="L3" s="83" t="s">
        <v>2971</v>
      </c>
      <c r="M3" s="107">
        <v>0.02</v>
      </c>
    </row>
    <row r="4" spans="1:13" x14ac:dyDescent="0.35">
      <c r="A4" s="62" t="s">
        <v>2571</v>
      </c>
      <c r="B4" s="63" t="s">
        <v>2591</v>
      </c>
      <c r="C4" s="62" t="s">
        <v>2572</v>
      </c>
      <c r="D4" s="62" t="s">
        <v>6</v>
      </c>
      <c r="E4" s="62" t="s">
        <v>2573</v>
      </c>
      <c r="F4" s="63" t="s">
        <v>2574</v>
      </c>
      <c r="G4" s="62" t="s">
        <v>2575</v>
      </c>
      <c r="K4" s="83" t="s">
        <v>2630</v>
      </c>
      <c r="L4" t="s">
        <v>2972</v>
      </c>
      <c r="M4" s="107">
        <v>0.03</v>
      </c>
    </row>
    <row r="5" spans="1:13" x14ac:dyDescent="0.35">
      <c r="A5" s="62" t="s">
        <v>2576</v>
      </c>
      <c r="B5" s="63" t="s">
        <v>2618</v>
      </c>
      <c r="C5" s="62" t="s">
        <v>2577</v>
      </c>
      <c r="D5" s="62" t="s">
        <v>9</v>
      </c>
      <c r="E5" s="62" t="s">
        <v>2578</v>
      </c>
      <c r="F5" s="63" t="s">
        <v>2579</v>
      </c>
      <c r="L5" t="s">
        <v>2973</v>
      </c>
      <c r="M5" s="107">
        <v>0.04</v>
      </c>
    </row>
    <row r="6" spans="1:13" x14ac:dyDescent="0.35">
      <c r="A6" s="62" t="s">
        <v>2581</v>
      </c>
      <c r="B6" s="63" t="s">
        <v>2619</v>
      </c>
      <c r="C6" s="62" t="s">
        <v>2580</v>
      </c>
      <c r="D6" s="62" t="s">
        <v>10</v>
      </c>
      <c r="E6" s="62" t="s">
        <v>2573</v>
      </c>
      <c r="M6" s="107">
        <v>0.05</v>
      </c>
    </row>
    <row r="7" spans="1:13" x14ac:dyDescent="0.35">
      <c r="A7" s="62" t="s">
        <v>2585</v>
      </c>
      <c r="C7" s="62" t="s">
        <v>2582</v>
      </c>
      <c r="D7" s="65" t="s">
        <v>14</v>
      </c>
      <c r="E7" s="65" t="s">
        <v>2583</v>
      </c>
      <c r="M7" s="107">
        <v>0.06</v>
      </c>
    </row>
    <row r="8" spans="1:13" x14ac:dyDescent="0.35">
      <c r="A8" s="62" t="s">
        <v>2587</v>
      </c>
      <c r="C8" s="62" t="s">
        <v>2584</v>
      </c>
      <c r="D8" s="65" t="s">
        <v>16</v>
      </c>
      <c r="E8" s="65"/>
      <c r="M8" s="107">
        <v>7.0000000000000007E-2</v>
      </c>
    </row>
    <row r="9" spans="1:13" ht="14.5" customHeight="1" x14ac:dyDescent="0.35">
      <c r="A9" s="62" t="s">
        <v>2590</v>
      </c>
      <c r="C9" s="62" t="s">
        <v>2586</v>
      </c>
      <c r="D9" s="65" t="s">
        <v>19</v>
      </c>
      <c r="E9" s="65"/>
      <c r="M9" s="107">
        <v>0.08</v>
      </c>
    </row>
    <row r="10" spans="1:13" x14ac:dyDescent="0.35">
      <c r="A10" s="62" t="s">
        <v>2592</v>
      </c>
      <c r="C10" s="62" t="s">
        <v>2588</v>
      </c>
      <c r="M10" s="107">
        <v>0.09</v>
      </c>
    </row>
    <row r="11" spans="1:13" x14ac:dyDescent="0.35">
      <c r="A11" s="62" t="s">
        <v>2593</v>
      </c>
      <c r="C11" s="62" t="s">
        <v>2589</v>
      </c>
      <c r="M11" s="107">
        <v>0.1</v>
      </c>
    </row>
    <row r="12" spans="1:13" x14ac:dyDescent="0.35">
      <c r="A12" s="62" t="s">
        <v>2594</v>
      </c>
      <c r="M12" s="107">
        <v>0.11</v>
      </c>
    </row>
    <row r="13" spans="1:13" x14ac:dyDescent="0.35">
      <c r="A13" s="62" t="s">
        <v>2595</v>
      </c>
      <c r="M13" s="107">
        <v>0.12</v>
      </c>
    </row>
    <row r="14" spans="1:13" x14ac:dyDescent="0.35">
      <c r="A14" s="62" t="s">
        <v>2628</v>
      </c>
      <c r="M14" s="107">
        <v>0.13</v>
      </c>
    </row>
    <row r="15" spans="1:13" x14ac:dyDescent="0.35">
      <c r="A15" s="62" t="s">
        <v>2675</v>
      </c>
      <c r="M15" s="107">
        <v>0.14000000000000001</v>
      </c>
    </row>
    <row r="16" spans="1:13" x14ac:dyDescent="0.35">
      <c r="A16" s="62" t="s">
        <v>2620</v>
      </c>
      <c r="M16" s="107">
        <v>0.15</v>
      </c>
    </row>
    <row r="17" spans="1:13" ht="14.5" customHeight="1" x14ac:dyDescent="0.35">
      <c r="A17" s="62" t="s">
        <v>2596</v>
      </c>
      <c r="M17" s="107">
        <v>0.16</v>
      </c>
    </row>
    <row r="18" spans="1:13" x14ac:dyDescent="0.35">
      <c r="A18" s="62" t="s">
        <v>2597</v>
      </c>
      <c r="M18" s="107">
        <v>0.17</v>
      </c>
    </row>
    <row r="19" spans="1:13" x14ac:dyDescent="0.35">
      <c r="A19" s="62" t="s">
        <v>2598</v>
      </c>
      <c r="M19" s="107">
        <v>0.18</v>
      </c>
    </row>
    <row r="20" spans="1:13" x14ac:dyDescent="0.35">
      <c r="A20" s="62" t="s">
        <v>2599</v>
      </c>
      <c r="M20" s="107">
        <v>0.19</v>
      </c>
    </row>
    <row r="21" spans="1:13" x14ac:dyDescent="0.35">
      <c r="A21" s="62" t="s">
        <v>2600</v>
      </c>
      <c r="M21" s="107">
        <v>0.2</v>
      </c>
    </row>
    <row r="22" spans="1:13" x14ac:dyDescent="0.35">
      <c r="A22" s="62" t="s">
        <v>2601</v>
      </c>
      <c r="M22" s="107">
        <v>0.21</v>
      </c>
    </row>
    <row r="23" spans="1:13" x14ac:dyDescent="0.35">
      <c r="A23" s="62" t="s">
        <v>2602</v>
      </c>
      <c r="M23" s="107">
        <v>0.22</v>
      </c>
    </row>
    <row r="24" spans="1:13" x14ac:dyDescent="0.35">
      <c r="A24" s="62" t="s">
        <v>2603</v>
      </c>
      <c r="M24" s="107">
        <v>0.23</v>
      </c>
    </row>
    <row r="25" spans="1:13" x14ac:dyDescent="0.35">
      <c r="A25" s="62" t="s">
        <v>2604</v>
      </c>
      <c r="M25" s="107">
        <v>0.24</v>
      </c>
    </row>
    <row r="26" spans="1:13" x14ac:dyDescent="0.35">
      <c r="A26" s="62" t="s">
        <v>2605</v>
      </c>
      <c r="M26" s="107">
        <v>0.25</v>
      </c>
    </row>
    <row r="27" spans="1:13" ht="14.5" customHeight="1" x14ac:dyDescent="0.35">
      <c r="A27" s="62" t="s">
        <v>2606</v>
      </c>
      <c r="M27" s="107">
        <v>0.26</v>
      </c>
    </row>
    <row r="28" spans="1:13" x14ac:dyDescent="0.35">
      <c r="A28" s="62" t="s">
        <v>2607</v>
      </c>
      <c r="M28" s="107">
        <v>0.27</v>
      </c>
    </row>
    <row r="29" spans="1:13" x14ac:dyDescent="0.35">
      <c r="A29" s="62" t="s">
        <v>2608</v>
      </c>
      <c r="M29" s="107">
        <v>0.28000000000000003</v>
      </c>
    </row>
    <row r="30" spans="1:13" x14ac:dyDescent="0.35">
      <c r="A30" s="62" t="s">
        <v>2609</v>
      </c>
      <c r="M30" s="107">
        <v>0.28999999999999998</v>
      </c>
    </row>
    <row r="31" spans="1:13" ht="14.5" customHeight="1" x14ac:dyDescent="0.35">
      <c r="A31" s="62" t="s">
        <v>2610</v>
      </c>
      <c r="M31" s="107">
        <v>0.3</v>
      </c>
    </row>
    <row r="32" spans="1:13" x14ac:dyDescent="0.35">
      <c r="A32" s="62" t="s">
        <v>2611</v>
      </c>
      <c r="M32" s="107">
        <v>0.31</v>
      </c>
    </row>
    <row r="33" spans="1:15" x14ac:dyDescent="0.35">
      <c r="A33" s="62" t="s">
        <v>2612</v>
      </c>
      <c r="M33" s="107">
        <v>0.32</v>
      </c>
    </row>
    <row r="34" spans="1:15" ht="14.5" customHeight="1" x14ac:dyDescent="0.35">
      <c r="A34" s="62" t="s">
        <v>2613</v>
      </c>
      <c r="M34" s="107">
        <v>0.33</v>
      </c>
    </row>
    <row r="35" spans="1:15" x14ac:dyDescent="0.35">
      <c r="A35" s="62" t="s">
        <v>2614</v>
      </c>
      <c r="M35" s="107">
        <v>0.34</v>
      </c>
    </row>
    <row r="36" spans="1:15" x14ac:dyDescent="0.35">
      <c r="A36" s="62" t="s">
        <v>2615</v>
      </c>
      <c r="M36" s="107">
        <v>0.35</v>
      </c>
    </row>
    <row r="37" spans="1:15" x14ac:dyDescent="0.35">
      <c r="A37" s="62" t="s">
        <v>2616</v>
      </c>
      <c r="M37" s="107">
        <v>0.36</v>
      </c>
    </row>
    <row r="38" spans="1:15" ht="14.5" customHeight="1" x14ac:dyDescent="0.35">
      <c r="A38" s="62" t="s">
        <v>2621</v>
      </c>
      <c r="M38" s="107">
        <v>0.37</v>
      </c>
    </row>
    <row r="39" spans="1:15" x14ac:dyDescent="0.35">
      <c r="A39" s="62" t="s">
        <v>2623</v>
      </c>
      <c r="M39" s="107">
        <v>0.38</v>
      </c>
    </row>
    <row r="40" spans="1:15" x14ac:dyDescent="0.35">
      <c r="A40" s="62" t="s">
        <v>2624</v>
      </c>
      <c r="M40" s="107">
        <v>0.39</v>
      </c>
    </row>
    <row r="41" spans="1:15" x14ac:dyDescent="0.35">
      <c r="A41" s="62" t="s">
        <v>2625</v>
      </c>
      <c r="M41" s="107">
        <v>0.4</v>
      </c>
    </row>
    <row r="42" spans="1:15" x14ac:dyDescent="0.35">
      <c r="A42" s="62" t="s">
        <v>2626</v>
      </c>
      <c r="M42" s="107">
        <v>0.41</v>
      </c>
    </row>
    <row r="43" spans="1:15" x14ac:dyDescent="0.35">
      <c r="A43" s="62" t="s">
        <v>2627</v>
      </c>
      <c r="M43" s="107">
        <v>0.42</v>
      </c>
    </row>
    <row r="44" spans="1:15" ht="14.5" customHeight="1" x14ac:dyDescent="0.35">
      <c r="A44" s="62" t="s">
        <v>2628</v>
      </c>
      <c r="M44" s="107">
        <v>0.43</v>
      </c>
    </row>
    <row r="45" spans="1:15" x14ac:dyDescent="0.35">
      <c r="M45" s="107">
        <v>0.44</v>
      </c>
    </row>
    <row r="46" spans="1:15" x14ac:dyDescent="0.35">
      <c r="M46" s="107">
        <v>0.45</v>
      </c>
    </row>
    <row r="47" spans="1:15" x14ac:dyDescent="0.35">
      <c r="M47" s="107">
        <v>0.46</v>
      </c>
    </row>
    <row r="48" spans="1:15" x14ac:dyDescent="0.35">
      <c r="M48" s="107">
        <v>0.47</v>
      </c>
      <c r="O48" t="s">
        <v>2476</v>
      </c>
    </row>
    <row r="49" spans="13:13" x14ac:dyDescent="0.35">
      <c r="M49" s="107">
        <v>0.48</v>
      </c>
    </row>
    <row r="50" spans="13:13" x14ac:dyDescent="0.35">
      <c r="M50" s="107">
        <v>0.49</v>
      </c>
    </row>
    <row r="51" spans="13:13" x14ac:dyDescent="0.35">
      <c r="M51" s="107">
        <v>0.5</v>
      </c>
    </row>
    <row r="52" spans="13:13" ht="14.5" customHeight="1" x14ac:dyDescent="0.35">
      <c r="M52" s="107">
        <v>0.51</v>
      </c>
    </row>
    <row r="53" spans="13:13" x14ac:dyDescent="0.35">
      <c r="M53" s="107">
        <v>0.52</v>
      </c>
    </row>
    <row r="54" spans="13:13" x14ac:dyDescent="0.35">
      <c r="M54" s="107">
        <v>0.53</v>
      </c>
    </row>
    <row r="55" spans="13:13" x14ac:dyDescent="0.35">
      <c r="M55" s="107">
        <v>0.54</v>
      </c>
    </row>
    <row r="56" spans="13:13" x14ac:dyDescent="0.35">
      <c r="M56" s="107">
        <v>0.55000000000000004</v>
      </c>
    </row>
    <row r="57" spans="13:13" x14ac:dyDescent="0.35">
      <c r="M57" s="107">
        <v>0.56000000000000005</v>
      </c>
    </row>
    <row r="58" spans="13:13" x14ac:dyDescent="0.35">
      <c r="M58" s="107">
        <v>0.56999999999999995</v>
      </c>
    </row>
    <row r="59" spans="13:13" x14ac:dyDescent="0.35">
      <c r="M59" s="107">
        <v>0.57999999999999996</v>
      </c>
    </row>
    <row r="60" spans="13:13" x14ac:dyDescent="0.35">
      <c r="M60" s="107">
        <v>0.59</v>
      </c>
    </row>
    <row r="61" spans="13:13" x14ac:dyDescent="0.35">
      <c r="M61" s="107">
        <v>0.6</v>
      </c>
    </row>
    <row r="62" spans="13:13" x14ac:dyDescent="0.35">
      <c r="M62" s="107">
        <v>0.61</v>
      </c>
    </row>
    <row r="63" spans="13:13" x14ac:dyDescent="0.35">
      <c r="M63" s="107">
        <v>0.62</v>
      </c>
    </row>
    <row r="64" spans="13:13" x14ac:dyDescent="0.35">
      <c r="M64" s="107">
        <v>0.63</v>
      </c>
    </row>
    <row r="65" spans="13:13" x14ac:dyDescent="0.35">
      <c r="M65" s="107">
        <v>0.64</v>
      </c>
    </row>
    <row r="66" spans="13:13" x14ac:dyDescent="0.35">
      <c r="M66" s="107">
        <v>0.65</v>
      </c>
    </row>
    <row r="67" spans="13:13" x14ac:dyDescent="0.35">
      <c r="M67" s="107">
        <v>0.66</v>
      </c>
    </row>
    <row r="68" spans="13:13" x14ac:dyDescent="0.35">
      <c r="M68" s="107">
        <v>0.67</v>
      </c>
    </row>
    <row r="69" spans="13:13" x14ac:dyDescent="0.35">
      <c r="M69" s="107">
        <v>0.68</v>
      </c>
    </row>
    <row r="70" spans="13:13" x14ac:dyDescent="0.35">
      <c r="M70" s="107">
        <v>0.69</v>
      </c>
    </row>
    <row r="71" spans="13:13" x14ac:dyDescent="0.35">
      <c r="M71" s="107">
        <v>0.7</v>
      </c>
    </row>
    <row r="72" spans="13:13" x14ac:dyDescent="0.35">
      <c r="M72" s="107">
        <v>0.71</v>
      </c>
    </row>
    <row r="73" spans="13:13" x14ac:dyDescent="0.35">
      <c r="M73" s="107">
        <v>0.72</v>
      </c>
    </row>
    <row r="74" spans="13:13" x14ac:dyDescent="0.35">
      <c r="M74" s="107">
        <v>0.73</v>
      </c>
    </row>
    <row r="75" spans="13:13" x14ac:dyDescent="0.35">
      <c r="M75" s="107">
        <v>0.74</v>
      </c>
    </row>
    <row r="76" spans="13:13" x14ac:dyDescent="0.35">
      <c r="M76" s="107">
        <v>0.75</v>
      </c>
    </row>
    <row r="77" spans="13:13" x14ac:dyDescent="0.35">
      <c r="M77" s="107">
        <v>0.76</v>
      </c>
    </row>
  </sheetData>
  <sheetProtection algorithmName="SHA-512" hashValue="6ef5RQFl6d+EdoyV7NZCjmOWobpQ5pOK+foB5ix5ryQSmA/W2B5kJIQwfUoIxe5NL9AVEFKICpkuRxmoSCdHIQ==" saltValue="2Yw80oaQL6JMmFQWlm+X4g==" spinCount="100000" sheet="1" objects="1" scenarios="1"/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23"/>
  <sheetViews>
    <sheetView tabSelected="1" topLeftCell="B1405" zoomScaleNormal="100" workbookViewId="0">
      <selection activeCell="F1430" sqref="F1430:F1437"/>
    </sheetView>
  </sheetViews>
  <sheetFormatPr defaultColWidth="24" defaultRowHeight="12" x14ac:dyDescent="0.3"/>
  <cols>
    <col min="1" max="1" width="21.26953125" style="50" customWidth="1"/>
    <col min="2" max="2" width="55.90625" style="99" customWidth="1"/>
    <col min="3" max="3" width="18.7265625" style="50" customWidth="1"/>
    <col min="4" max="4" width="11.54296875" style="50" customWidth="1"/>
    <col min="5" max="5" width="13.6328125" style="103" customWidth="1"/>
    <col min="6" max="6" width="52.36328125" style="99" customWidth="1"/>
    <col min="7" max="7" width="31.08984375" style="50" customWidth="1"/>
    <col min="8" max="8" width="9.7265625" style="100" customWidth="1"/>
    <col min="9" max="9" width="7.453125" style="100" customWidth="1"/>
    <col min="10" max="10" width="28.26953125" style="50" customWidth="1"/>
    <col min="11" max="16384" width="24" style="50"/>
  </cols>
  <sheetData>
    <row r="1" spans="1:10" s="49" customFormat="1" x14ac:dyDescent="0.35">
      <c r="A1" s="108" t="s">
        <v>59</v>
      </c>
      <c r="B1" s="109" t="s">
        <v>60</v>
      </c>
      <c r="C1" s="109" t="s">
        <v>41</v>
      </c>
      <c r="D1" s="108" t="s">
        <v>43</v>
      </c>
      <c r="E1" s="110" t="s">
        <v>50</v>
      </c>
      <c r="F1" s="111" t="s">
        <v>42</v>
      </c>
      <c r="G1" s="109" t="s">
        <v>49</v>
      </c>
      <c r="H1" s="112" t="s">
        <v>45</v>
      </c>
      <c r="I1" s="113" t="s">
        <v>61</v>
      </c>
      <c r="J1" s="109" t="s">
        <v>42</v>
      </c>
    </row>
    <row r="2" spans="1:10" ht="13" x14ac:dyDescent="0.3">
      <c r="A2" s="34" t="s">
        <v>550</v>
      </c>
      <c r="B2" s="12" t="s">
        <v>2773</v>
      </c>
      <c r="C2" s="13">
        <v>40</v>
      </c>
      <c r="D2" s="18">
        <v>1</v>
      </c>
      <c r="E2" s="15">
        <v>567</v>
      </c>
      <c r="F2" s="12" t="s">
        <v>127</v>
      </c>
      <c r="G2" s="18" t="s">
        <v>313</v>
      </c>
      <c r="H2" s="16">
        <v>39171020</v>
      </c>
      <c r="I2" s="17">
        <v>0.18</v>
      </c>
      <c r="J2" s="18" t="s">
        <v>2646</v>
      </c>
    </row>
    <row r="3" spans="1:10" ht="13" x14ac:dyDescent="0.3">
      <c r="A3" s="34" t="s">
        <v>551</v>
      </c>
      <c r="B3" s="12" t="s">
        <v>2773</v>
      </c>
      <c r="C3" s="13">
        <v>50</v>
      </c>
      <c r="D3" s="18">
        <v>1</v>
      </c>
      <c r="E3" s="15">
        <v>740</v>
      </c>
      <c r="F3" s="12" t="s">
        <v>127</v>
      </c>
      <c r="G3" s="18" t="s">
        <v>313</v>
      </c>
      <c r="H3" s="16">
        <v>39171020</v>
      </c>
      <c r="I3" s="17">
        <v>0.18</v>
      </c>
      <c r="J3" s="18" t="s">
        <v>2646</v>
      </c>
    </row>
    <row r="4" spans="1:10" ht="13" x14ac:dyDescent="0.3">
      <c r="A4" s="34" t="s">
        <v>552</v>
      </c>
      <c r="B4" s="12" t="s">
        <v>2773</v>
      </c>
      <c r="C4" s="13">
        <v>75</v>
      </c>
      <c r="D4" s="18">
        <v>1</v>
      </c>
      <c r="E4" s="15">
        <v>1304</v>
      </c>
      <c r="F4" s="12" t="s">
        <v>127</v>
      </c>
      <c r="G4" s="18" t="s">
        <v>313</v>
      </c>
      <c r="H4" s="16">
        <v>39171020</v>
      </c>
      <c r="I4" s="17">
        <v>0.18</v>
      </c>
      <c r="J4" s="18" t="s">
        <v>2646</v>
      </c>
    </row>
    <row r="5" spans="1:10" ht="13" x14ac:dyDescent="0.3">
      <c r="A5" s="34" t="s">
        <v>553</v>
      </c>
      <c r="B5" s="12" t="s">
        <v>2773</v>
      </c>
      <c r="C5" s="13">
        <v>110</v>
      </c>
      <c r="D5" s="18">
        <v>1</v>
      </c>
      <c r="E5" s="15">
        <v>1752</v>
      </c>
      <c r="F5" s="12" t="s">
        <v>127</v>
      </c>
      <c r="G5" s="18" t="s">
        <v>313</v>
      </c>
      <c r="H5" s="16">
        <v>39171020</v>
      </c>
      <c r="I5" s="17">
        <v>0.18</v>
      </c>
      <c r="J5" s="18" t="s">
        <v>2646</v>
      </c>
    </row>
    <row r="6" spans="1:10" ht="13" x14ac:dyDescent="0.3">
      <c r="A6" s="34" t="s">
        <v>554</v>
      </c>
      <c r="B6" s="12" t="s">
        <v>2773</v>
      </c>
      <c r="C6" s="13">
        <v>125</v>
      </c>
      <c r="D6" s="18">
        <v>1</v>
      </c>
      <c r="E6" s="15">
        <v>3401</v>
      </c>
      <c r="F6" s="12" t="s">
        <v>127</v>
      </c>
      <c r="G6" s="18" t="s">
        <v>313</v>
      </c>
      <c r="H6" s="16">
        <v>39171020</v>
      </c>
      <c r="I6" s="17">
        <v>0.18</v>
      </c>
      <c r="J6" s="18" t="s">
        <v>2646</v>
      </c>
    </row>
    <row r="7" spans="1:10" ht="13" x14ac:dyDescent="0.3">
      <c r="A7" s="34" t="s">
        <v>555</v>
      </c>
      <c r="B7" s="12" t="s">
        <v>2773</v>
      </c>
      <c r="C7" s="13">
        <v>160</v>
      </c>
      <c r="D7" s="18">
        <v>1</v>
      </c>
      <c r="E7" s="15">
        <v>4117</v>
      </c>
      <c r="F7" s="12" t="s">
        <v>127</v>
      </c>
      <c r="G7" s="18" t="s">
        <v>313</v>
      </c>
      <c r="H7" s="16">
        <v>39171020</v>
      </c>
      <c r="I7" s="17">
        <v>0.18</v>
      </c>
      <c r="J7" s="18" t="s">
        <v>2646</v>
      </c>
    </row>
    <row r="8" spans="1:10" ht="13" x14ac:dyDescent="0.3">
      <c r="A8" s="34" t="s">
        <v>556</v>
      </c>
      <c r="B8" s="12" t="s">
        <v>2773</v>
      </c>
      <c r="C8" s="13">
        <v>200</v>
      </c>
      <c r="D8" s="18">
        <v>1</v>
      </c>
      <c r="E8" s="15">
        <v>8303</v>
      </c>
      <c r="F8" s="12" t="s">
        <v>127</v>
      </c>
      <c r="G8" s="18" t="s">
        <v>313</v>
      </c>
      <c r="H8" s="16">
        <v>39171020</v>
      </c>
      <c r="I8" s="17">
        <v>0.18</v>
      </c>
      <c r="J8" s="18" t="s">
        <v>2646</v>
      </c>
    </row>
    <row r="9" spans="1:10" ht="13" x14ac:dyDescent="0.3">
      <c r="A9" s="34" t="s">
        <v>557</v>
      </c>
      <c r="B9" s="12" t="s">
        <v>2774</v>
      </c>
      <c r="C9" s="13">
        <v>40</v>
      </c>
      <c r="D9" s="18">
        <v>1</v>
      </c>
      <c r="E9" s="15">
        <v>588</v>
      </c>
      <c r="F9" s="12" t="s">
        <v>2775</v>
      </c>
      <c r="G9" s="18" t="s">
        <v>314</v>
      </c>
      <c r="H9" s="16">
        <v>39171020</v>
      </c>
      <c r="I9" s="17">
        <v>0.18</v>
      </c>
      <c r="J9" s="18" t="s">
        <v>2646</v>
      </c>
    </row>
    <row r="10" spans="1:10" ht="13" x14ac:dyDescent="0.3">
      <c r="A10" s="34" t="s">
        <v>558</v>
      </c>
      <c r="B10" s="12" t="s">
        <v>2774</v>
      </c>
      <c r="C10" s="13">
        <v>50</v>
      </c>
      <c r="D10" s="18">
        <v>1</v>
      </c>
      <c r="E10" s="15">
        <v>768</v>
      </c>
      <c r="F10" s="12" t="s">
        <v>2775</v>
      </c>
      <c r="G10" s="18" t="s">
        <v>314</v>
      </c>
      <c r="H10" s="16">
        <v>39171020</v>
      </c>
      <c r="I10" s="17">
        <v>0.18</v>
      </c>
      <c r="J10" s="18" t="s">
        <v>2646</v>
      </c>
    </row>
    <row r="11" spans="1:10" ht="13" x14ac:dyDescent="0.3">
      <c r="A11" s="34" t="s">
        <v>559</v>
      </c>
      <c r="B11" s="12" t="s">
        <v>2774</v>
      </c>
      <c r="C11" s="13">
        <v>75</v>
      </c>
      <c r="D11" s="18">
        <v>1</v>
      </c>
      <c r="E11" s="15">
        <v>1344</v>
      </c>
      <c r="F11" s="12" t="s">
        <v>2775</v>
      </c>
      <c r="G11" s="18" t="s">
        <v>314</v>
      </c>
      <c r="H11" s="16">
        <v>39171020</v>
      </c>
      <c r="I11" s="17">
        <v>0.18</v>
      </c>
      <c r="J11" s="18" t="s">
        <v>2646</v>
      </c>
    </row>
    <row r="12" spans="1:10" ht="13" x14ac:dyDescent="0.3">
      <c r="A12" s="34" t="s">
        <v>560</v>
      </c>
      <c r="B12" s="12" t="s">
        <v>2774</v>
      </c>
      <c r="C12" s="13">
        <v>110</v>
      </c>
      <c r="D12" s="18">
        <v>1</v>
      </c>
      <c r="E12" s="15">
        <v>2063</v>
      </c>
      <c r="F12" s="12" t="s">
        <v>2775</v>
      </c>
      <c r="G12" s="18" t="s">
        <v>314</v>
      </c>
      <c r="H12" s="16">
        <v>39171020</v>
      </c>
      <c r="I12" s="17">
        <v>0.18</v>
      </c>
      <c r="J12" s="18" t="s">
        <v>2646</v>
      </c>
    </row>
    <row r="13" spans="1:10" ht="13" x14ac:dyDescent="0.3">
      <c r="A13" s="34" t="s">
        <v>561</v>
      </c>
      <c r="B13" s="12" t="s">
        <v>2774</v>
      </c>
      <c r="C13" s="13">
        <v>125</v>
      </c>
      <c r="D13" s="18">
        <v>1</v>
      </c>
      <c r="E13" s="15">
        <v>3519</v>
      </c>
      <c r="F13" s="12" t="s">
        <v>2775</v>
      </c>
      <c r="G13" s="18" t="s">
        <v>314</v>
      </c>
      <c r="H13" s="16">
        <v>39171020</v>
      </c>
      <c r="I13" s="17">
        <v>0.18</v>
      </c>
      <c r="J13" s="18" t="s">
        <v>2646</v>
      </c>
    </row>
    <row r="14" spans="1:10" ht="13" x14ac:dyDescent="0.3">
      <c r="A14" s="34" t="s">
        <v>562</v>
      </c>
      <c r="B14" s="12" t="s">
        <v>2774</v>
      </c>
      <c r="C14" s="13">
        <v>160</v>
      </c>
      <c r="D14" s="18">
        <v>1</v>
      </c>
      <c r="E14" s="15">
        <v>4269</v>
      </c>
      <c r="F14" s="12" t="s">
        <v>2775</v>
      </c>
      <c r="G14" s="18" t="s">
        <v>314</v>
      </c>
      <c r="H14" s="16">
        <v>39171020</v>
      </c>
      <c r="I14" s="17">
        <v>0.18</v>
      </c>
      <c r="J14" s="18" t="s">
        <v>2646</v>
      </c>
    </row>
    <row r="15" spans="1:10" ht="13" x14ac:dyDescent="0.3">
      <c r="A15" s="34" t="s">
        <v>563</v>
      </c>
      <c r="B15" s="20" t="s">
        <v>2776</v>
      </c>
      <c r="C15" s="21">
        <v>40</v>
      </c>
      <c r="D15" s="18">
        <v>1</v>
      </c>
      <c r="E15" s="15">
        <v>77</v>
      </c>
      <c r="F15" s="12" t="s">
        <v>2777</v>
      </c>
      <c r="G15" s="18" t="s">
        <v>313</v>
      </c>
      <c r="H15" s="16">
        <v>39171020</v>
      </c>
      <c r="I15" s="17">
        <v>0.18</v>
      </c>
      <c r="J15" s="18" t="s">
        <v>2646</v>
      </c>
    </row>
    <row r="16" spans="1:10" ht="13" x14ac:dyDescent="0.3">
      <c r="A16" s="34" t="s">
        <v>564</v>
      </c>
      <c r="B16" s="20" t="s">
        <v>2778</v>
      </c>
      <c r="C16" s="21">
        <v>50</v>
      </c>
      <c r="D16" s="18">
        <v>1</v>
      </c>
      <c r="E16" s="15">
        <v>89</v>
      </c>
      <c r="F16" s="12" t="s">
        <v>2777</v>
      </c>
      <c r="G16" s="18" t="s">
        <v>313</v>
      </c>
      <c r="H16" s="16">
        <v>39171020</v>
      </c>
      <c r="I16" s="17">
        <v>0.18</v>
      </c>
      <c r="J16" s="18" t="s">
        <v>2646</v>
      </c>
    </row>
    <row r="17" spans="1:10" ht="13" x14ac:dyDescent="0.3">
      <c r="A17" s="34" t="s">
        <v>565</v>
      </c>
      <c r="B17" s="20" t="s">
        <v>2778</v>
      </c>
      <c r="C17" s="21">
        <v>75</v>
      </c>
      <c r="D17" s="18">
        <v>1</v>
      </c>
      <c r="E17" s="15">
        <v>147</v>
      </c>
      <c r="F17" s="12" t="s">
        <v>2777</v>
      </c>
      <c r="G17" s="18" t="s">
        <v>313</v>
      </c>
      <c r="H17" s="16">
        <v>39171020</v>
      </c>
      <c r="I17" s="17">
        <v>0.18</v>
      </c>
      <c r="J17" s="18" t="s">
        <v>2646</v>
      </c>
    </row>
    <row r="18" spans="1:10" ht="13" x14ac:dyDescent="0.3">
      <c r="A18" s="34" t="s">
        <v>2779</v>
      </c>
      <c r="B18" s="20" t="s">
        <v>2778</v>
      </c>
      <c r="C18" s="21">
        <v>110</v>
      </c>
      <c r="D18" s="18">
        <v>1</v>
      </c>
      <c r="E18" s="15">
        <v>243</v>
      </c>
      <c r="F18" s="12" t="s">
        <v>2777</v>
      </c>
      <c r="G18" s="18" t="s">
        <v>313</v>
      </c>
      <c r="H18" s="16">
        <v>39171020</v>
      </c>
      <c r="I18" s="17">
        <v>0.18</v>
      </c>
      <c r="J18" s="18" t="s">
        <v>2646</v>
      </c>
    </row>
    <row r="19" spans="1:10" ht="13" x14ac:dyDescent="0.3">
      <c r="A19" s="34" t="s">
        <v>566</v>
      </c>
      <c r="B19" s="20" t="s">
        <v>2778</v>
      </c>
      <c r="C19" s="21">
        <v>125</v>
      </c>
      <c r="D19" s="18">
        <v>1</v>
      </c>
      <c r="E19" s="15">
        <v>392</v>
      </c>
      <c r="F19" s="12" t="s">
        <v>2777</v>
      </c>
      <c r="G19" s="18" t="s">
        <v>313</v>
      </c>
      <c r="H19" s="16">
        <v>39171020</v>
      </c>
      <c r="I19" s="17">
        <v>0.18</v>
      </c>
      <c r="J19" s="18" t="s">
        <v>2646</v>
      </c>
    </row>
    <row r="20" spans="1:10" ht="13" x14ac:dyDescent="0.3">
      <c r="A20" s="34" t="s">
        <v>567</v>
      </c>
      <c r="B20" s="20" t="s">
        <v>2778</v>
      </c>
      <c r="C20" s="21">
        <v>160</v>
      </c>
      <c r="D20" s="18">
        <v>1</v>
      </c>
      <c r="E20" s="15">
        <v>483</v>
      </c>
      <c r="F20" s="12" t="s">
        <v>2777</v>
      </c>
      <c r="G20" s="18" t="s">
        <v>313</v>
      </c>
      <c r="H20" s="16">
        <v>39171020</v>
      </c>
      <c r="I20" s="17">
        <v>0.18</v>
      </c>
      <c r="J20" s="18" t="s">
        <v>2646</v>
      </c>
    </row>
    <row r="21" spans="1:10" ht="13" x14ac:dyDescent="0.3">
      <c r="A21" s="34" t="s">
        <v>568</v>
      </c>
      <c r="B21" s="12" t="s">
        <v>2780</v>
      </c>
      <c r="C21" s="22">
        <v>40</v>
      </c>
      <c r="D21" s="18">
        <v>1</v>
      </c>
      <c r="E21" s="15">
        <v>113</v>
      </c>
      <c r="F21" s="12" t="s">
        <v>2784</v>
      </c>
      <c r="G21" s="18" t="s">
        <v>313</v>
      </c>
      <c r="H21" s="16">
        <v>39171020</v>
      </c>
      <c r="I21" s="17">
        <v>0.18</v>
      </c>
      <c r="J21" s="18" t="s">
        <v>2646</v>
      </c>
    </row>
    <row r="22" spans="1:10" ht="13" x14ac:dyDescent="0.3">
      <c r="A22" s="34" t="s">
        <v>569</v>
      </c>
      <c r="B22" s="12" t="s">
        <v>2780</v>
      </c>
      <c r="C22" s="22">
        <v>50</v>
      </c>
      <c r="D22" s="18">
        <v>1</v>
      </c>
      <c r="E22" s="15">
        <v>147</v>
      </c>
      <c r="F22" s="12" t="s">
        <v>2784</v>
      </c>
      <c r="G22" s="18" t="s">
        <v>313</v>
      </c>
      <c r="H22" s="16">
        <v>39171020</v>
      </c>
      <c r="I22" s="17">
        <v>0.18</v>
      </c>
      <c r="J22" s="18" t="s">
        <v>2646</v>
      </c>
    </row>
    <row r="23" spans="1:10" ht="13" x14ac:dyDescent="0.3">
      <c r="A23" s="34" t="s">
        <v>570</v>
      </c>
      <c r="B23" s="12" t="s">
        <v>2780</v>
      </c>
      <c r="C23" s="22">
        <v>75</v>
      </c>
      <c r="D23" s="18">
        <v>1</v>
      </c>
      <c r="E23" s="15">
        <v>252</v>
      </c>
      <c r="F23" s="12" t="s">
        <v>2784</v>
      </c>
      <c r="G23" s="18" t="s">
        <v>313</v>
      </c>
      <c r="H23" s="16">
        <v>39171020</v>
      </c>
      <c r="I23" s="17">
        <v>0.18</v>
      </c>
      <c r="J23" s="18" t="s">
        <v>2646</v>
      </c>
    </row>
    <row r="24" spans="1:10" ht="13" x14ac:dyDescent="0.3">
      <c r="A24" s="34" t="s">
        <v>571</v>
      </c>
      <c r="B24" s="12" t="s">
        <v>2780</v>
      </c>
      <c r="C24" s="22">
        <v>110</v>
      </c>
      <c r="D24" s="18">
        <v>1</v>
      </c>
      <c r="E24" s="15">
        <v>412</v>
      </c>
      <c r="F24" s="12" t="s">
        <v>2784</v>
      </c>
      <c r="G24" s="18" t="s">
        <v>313</v>
      </c>
      <c r="H24" s="16">
        <v>39171020</v>
      </c>
      <c r="I24" s="17">
        <v>0.18</v>
      </c>
      <c r="J24" s="18" t="s">
        <v>2646</v>
      </c>
    </row>
    <row r="25" spans="1:10" ht="13" x14ac:dyDescent="0.3">
      <c r="A25" s="34" t="s">
        <v>572</v>
      </c>
      <c r="B25" s="12" t="s">
        <v>2780</v>
      </c>
      <c r="C25" s="22">
        <v>125</v>
      </c>
      <c r="D25" s="18">
        <v>1</v>
      </c>
      <c r="E25" s="15">
        <v>665</v>
      </c>
      <c r="F25" s="12" t="s">
        <v>2784</v>
      </c>
      <c r="G25" s="18" t="s">
        <v>313</v>
      </c>
      <c r="H25" s="16">
        <v>39171020</v>
      </c>
      <c r="I25" s="17">
        <v>0.18</v>
      </c>
      <c r="J25" s="18" t="s">
        <v>2646</v>
      </c>
    </row>
    <row r="26" spans="1:10" ht="13" x14ac:dyDescent="0.3">
      <c r="A26" s="34" t="s">
        <v>573</v>
      </c>
      <c r="B26" s="12" t="s">
        <v>2780</v>
      </c>
      <c r="C26" s="22">
        <v>160</v>
      </c>
      <c r="D26" s="18">
        <v>1</v>
      </c>
      <c r="E26" s="15">
        <v>813</v>
      </c>
      <c r="F26" s="12" t="s">
        <v>2784</v>
      </c>
      <c r="G26" s="18" t="s">
        <v>313</v>
      </c>
      <c r="H26" s="16">
        <v>39171020</v>
      </c>
      <c r="I26" s="17">
        <v>0.18</v>
      </c>
      <c r="J26" s="18" t="s">
        <v>2646</v>
      </c>
    </row>
    <row r="27" spans="1:10" ht="13" x14ac:dyDescent="0.3">
      <c r="A27" s="34" t="s">
        <v>574</v>
      </c>
      <c r="B27" s="12" t="s">
        <v>2781</v>
      </c>
      <c r="C27" s="22">
        <v>40</v>
      </c>
      <c r="D27" s="18">
        <v>1</v>
      </c>
      <c r="E27" s="15">
        <v>204</v>
      </c>
      <c r="F27" s="12" t="s">
        <v>2785</v>
      </c>
      <c r="G27" s="18" t="s">
        <v>313</v>
      </c>
      <c r="H27" s="16">
        <v>39171020</v>
      </c>
      <c r="I27" s="17">
        <v>0.18</v>
      </c>
      <c r="J27" s="18" t="s">
        <v>2646</v>
      </c>
    </row>
    <row r="28" spans="1:10" ht="13" x14ac:dyDescent="0.3">
      <c r="A28" s="34" t="s">
        <v>575</v>
      </c>
      <c r="B28" s="12" t="s">
        <v>2781</v>
      </c>
      <c r="C28" s="22">
        <v>50</v>
      </c>
      <c r="D28" s="18">
        <v>1</v>
      </c>
      <c r="E28" s="15">
        <v>266</v>
      </c>
      <c r="F28" s="12" t="s">
        <v>2785</v>
      </c>
      <c r="G28" s="18" t="s">
        <v>313</v>
      </c>
      <c r="H28" s="16">
        <v>39171020</v>
      </c>
      <c r="I28" s="17">
        <v>0.18</v>
      </c>
      <c r="J28" s="18" t="s">
        <v>2646</v>
      </c>
    </row>
    <row r="29" spans="1:10" ht="13" x14ac:dyDescent="0.3">
      <c r="A29" s="34" t="s">
        <v>576</v>
      </c>
      <c r="B29" s="12" t="s">
        <v>2781</v>
      </c>
      <c r="C29" s="22">
        <v>75</v>
      </c>
      <c r="D29" s="18">
        <v>1</v>
      </c>
      <c r="E29" s="15">
        <v>462</v>
      </c>
      <c r="F29" s="12" t="s">
        <v>2785</v>
      </c>
      <c r="G29" s="18" t="s">
        <v>313</v>
      </c>
      <c r="H29" s="16">
        <v>39171020</v>
      </c>
      <c r="I29" s="17">
        <v>0.18</v>
      </c>
      <c r="J29" s="18" t="s">
        <v>2646</v>
      </c>
    </row>
    <row r="30" spans="1:10" ht="13" x14ac:dyDescent="0.3">
      <c r="A30" s="34" t="s">
        <v>577</v>
      </c>
      <c r="B30" s="12" t="s">
        <v>2781</v>
      </c>
      <c r="C30" s="22">
        <v>110</v>
      </c>
      <c r="D30" s="18">
        <v>1</v>
      </c>
      <c r="E30" s="15">
        <v>748</v>
      </c>
      <c r="F30" s="12" t="s">
        <v>2785</v>
      </c>
      <c r="G30" s="18" t="s">
        <v>313</v>
      </c>
      <c r="H30" s="16">
        <v>39171020</v>
      </c>
      <c r="I30" s="17">
        <v>0.18</v>
      </c>
      <c r="J30" s="18" t="s">
        <v>2646</v>
      </c>
    </row>
    <row r="31" spans="1:10" ht="13" x14ac:dyDescent="0.3">
      <c r="A31" s="34" t="s">
        <v>578</v>
      </c>
      <c r="B31" s="12" t="s">
        <v>2781</v>
      </c>
      <c r="C31" s="22">
        <v>125</v>
      </c>
      <c r="D31" s="18">
        <v>1</v>
      </c>
      <c r="E31" s="15">
        <v>1212</v>
      </c>
      <c r="F31" s="12" t="s">
        <v>2785</v>
      </c>
      <c r="G31" s="18" t="s">
        <v>313</v>
      </c>
      <c r="H31" s="16">
        <v>39171020</v>
      </c>
      <c r="I31" s="17">
        <v>0.18</v>
      </c>
      <c r="J31" s="18" t="s">
        <v>2646</v>
      </c>
    </row>
    <row r="32" spans="1:10" ht="13" x14ac:dyDescent="0.3">
      <c r="A32" s="34" t="s">
        <v>579</v>
      </c>
      <c r="B32" s="12" t="s">
        <v>2781</v>
      </c>
      <c r="C32" s="22">
        <v>160</v>
      </c>
      <c r="D32" s="18">
        <v>1</v>
      </c>
      <c r="E32" s="15">
        <v>1474</v>
      </c>
      <c r="F32" s="12" t="s">
        <v>2785</v>
      </c>
      <c r="G32" s="18" t="s">
        <v>313</v>
      </c>
      <c r="H32" s="16">
        <v>39171020</v>
      </c>
      <c r="I32" s="17">
        <v>0.18</v>
      </c>
      <c r="J32" s="18" t="s">
        <v>2646</v>
      </c>
    </row>
    <row r="33" spans="1:10" ht="13" x14ac:dyDescent="0.3">
      <c r="A33" s="34" t="s">
        <v>580</v>
      </c>
      <c r="B33" s="12" t="s">
        <v>2782</v>
      </c>
      <c r="C33" s="22">
        <v>40</v>
      </c>
      <c r="D33" s="18">
        <v>1</v>
      </c>
      <c r="E33" s="15">
        <v>295</v>
      </c>
      <c r="F33" s="12" t="s">
        <v>2786</v>
      </c>
      <c r="G33" s="18" t="s">
        <v>313</v>
      </c>
      <c r="H33" s="16">
        <v>39171020</v>
      </c>
      <c r="I33" s="17">
        <v>0.18</v>
      </c>
      <c r="J33" s="18" t="s">
        <v>2646</v>
      </c>
    </row>
    <row r="34" spans="1:10" ht="13" x14ac:dyDescent="0.3">
      <c r="A34" s="34" t="s">
        <v>581</v>
      </c>
      <c r="B34" s="12" t="s">
        <v>2782</v>
      </c>
      <c r="C34" s="22">
        <v>50</v>
      </c>
      <c r="D34" s="18">
        <v>1</v>
      </c>
      <c r="E34" s="15">
        <v>384</v>
      </c>
      <c r="F34" s="12" t="s">
        <v>2786</v>
      </c>
      <c r="G34" s="18" t="s">
        <v>313</v>
      </c>
      <c r="H34" s="16">
        <v>39171020</v>
      </c>
      <c r="I34" s="17">
        <v>0.18</v>
      </c>
      <c r="J34" s="18" t="s">
        <v>2646</v>
      </c>
    </row>
    <row r="35" spans="1:10" ht="13" x14ac:dyDescent="0.3">
      <c r="A35" s="34" t="s">
        <v>582</v>
      </c>
      <c r="B35" s="12" t="s">
        <v>2782</v>
      </c>
      <c r="C35" s="22">
        <v>75</v>
      </c>
      <c r="D35" s="18">
        <v>1</v>
      </c>
      <c r="E35" s="15">
        <v>672</v>
      </c>
      <c r="F35" s="12" t="s">
        <v>2786</v>
      </c>
      <c r="G35" s="18" t="s">
        <v>313</v>
      </c>
      <c r="H35" s="16">
        <v>39171020</v>
      </c>
      <c r="I35" s="17">
        <v>0.18</v>
      </c>
      <c r="J35" s="18" t="s">
        <v>2646</v>
      </c>
    </row>
    <row r="36" spans="1:10" ht="13" x14ac:dyDescent="0.3">
      <c r="A36" s="34" t="s">
        <v>583</v>
      </c>
      <c r="B36" s="12" t="s">
        <v>2782</v>
      </c>
      <c r="C36" s="22">
        <v>110</v>
      </c>
      <c r="D36" s="18">
        <v>1</v>
      </c>
      <c r="E36" s="15">
        <v>1085</v>
      </c>
      <c r="F36" s="12" t="s">
        <v>2786</v>
      </c>
      <c r="G36" s="18" t="s">
        <v>313</v>
      </c>
      <c r="H36" s="16">
        <v>39171020</v>
      </c>
      <c r="I36" s="17">
        <v>0.18</v>
      </c>
      <c r="J36" s="18" t="s">
        <v>2646</v>
      </c>
    </row>
    <row r="37" spans="1:10" ht="13" x14ac:dyDescent="0.3">
      <c r="A37" s="34" t="s">
        <v>584</v>
      </c>
      <c r="B37" s="12" t="s">
        <v>2782</v>
      </c>
      <c r="C37" s="22">
        <v>125</v>
      </c>
      <c r="D37" s="18">
        <v>1</v>
      </c>
      <c r="E37" s="15">
        <v>1760</v>
      </c>
      <c r="F37" s="12" t="s">
        <v>2786</v>
      </c>
      <c r="G37" s="18" t="s">
        <v>313</v>
      </c>
      <c r="H37" s="16">
        <v>39171020</v>
      </c>
      <c r="I37" s="17">
        <v>0.18</v>
      </c>
      <c r="J37" s="18" t="s">
        <v>2646</v>
      </c>
    </row>
    <row r="38" spans="1:10" ht="13" x14ac:dyDescent="0.3">
      <c r="A38" s="34" t="s">
        <v>585</v>
      </c>
      <c r="B38" s="12" t="s">
        <v>2782</v>
      </c>
      <c r="C38" s="22">
        <v>160</v>
      </c>
      <c r="D38" s="18">
        <v>1</v>
      </c>
      <c r="E38" s="15">
        <v>2135</v>
      </c>
      <c r="F38" s="12" t="s">
        <v>2786</v>
      </c>
      <c r="G38" s="18" t="s">
        <v>313</v>
      </c>
      <c r="H38" s="16">
        <v>39171020</v>
      </c>
      <c r="I38" s="17">
        <v>0.18</v>
      </c>
      <c r="J38" s="18" t="s">
        <v>2646</v>
      </c>
    </row>
    <row r="39" spans="1:10" ht="13" x14ac:dyDescent="0.3">
      <c r="A39" s="34" t="s">
        <v>586</v>
      </c>
      <c r="B39" s="12" t="s">
        <v>2783</v>
      </c>
      <c r="C39" s="22">
        <v>40</v>
      </c>
      <c r="D39" s="18">
        <v>1</v>
      </c>
      <c r="E39" s="15">
        <v>386</v>
      </c>
      <c r="F39" s="12" t="s">
        <v>2787</v>
      </c>
      <c r="G39" s="18" t="s">
        <v>313</v>
      </c>
      <c r="H39" s="16">
        <v>39171020</v>
      </c>
      <c r="I39" s="17">
        <v>0.18</v>
      </c>
      <c r="J39" s="18" t="s">
        <v>2646</v>
      </c>
    </row>
    <row r="40" spans="1:10" ht="13" x14ac:dyDescent="0.3">
      <c r="A40" s="34" t="s">
        <v>587</v>
      </c>
      <c r="B40" s="12" t="s">
        <v>2783</v>
      </c>
      <c r="C40" s="22">
        <v>50</v>
      </c>
      <c r="D40" s="18">
        <v>1</v>
      </c>
      <c r="E40" s="15">
        <v>504</v>
      </c>
      <c r="F40" s="12" t="s">
        <v>2787</v>
      </c>
      <c r="G40" s="18" t="s">
        <v>313</v>
      </c>
      <c r="H40" s="16">
        <v>39171020</v>
      </c>
      <c r="I40" s="17">
        <v>0.18</v>
      </c>
      <c r="J40" s="18" t="s">
        <v>2646</v>
      </c>
    </row>
    <row r="41" spans="1:10" ht="13" x14ac:dyDescent="0.3">
      <c r="A41" s="34" t="s">
        <v>588</v>
      </c>
      <c r="B41" s="12" t="s">
        <v>2783</v>
      </c>
      <c r="C41" s="22">
        <v>75</v>
      </c>
      <c r="D41" s="18">
        <v>1</v>
      </c>
      <c r="E41" s="15">
        <v>883</v>
      </c>
      <c r="F41" s="12" t="s">
        <v>2787</v>
      </c>
      <c r="G41" s="18" t="s">
        <v>313</v>
      </c>
      <c r="H41" s="16">
        <v>39171020</v>
      </c>
      <c r="I41" s="17">
        <v>0.18</v>
      </c>
      <c r="J41" s="18" t="s">
        <v>2646</v>
      </c>
    </row>
    <row r="42" spans="1:10" ht="13" x14ac:dyDescent="0.3">
      <c r="A42" s="34" t="s">
        <v>589</v>
      </c>
      <c r="B42" s="12" t="s">
        <v>2783</v>
      </c>
      <c r="C42" s="22">
        <v>110</v>
      </c>
      <c r="D42" s="18">
        <v>1</v>
      </c>
      <c r="E42" s="15">
        <v>1421</v>
      </c>
      <c r="F42" s="12" t="s">
        <v>2787</v>
      </c>
      <c r="G42" s="18" t="s">
        <v>313</v>
      </c>
      <c r="H42" s="16">
        <v>39171020</v>
      </c>
      <c r="I42" s="17">
        <v>0.18</v>
      </c>
      <c r="J42" s="18" t="s">
        <v>2646</v>
      </c>
    </row>
    <row r="43" spans="1:10" ht="13" x14ac:dyDescent="0.3">
      <c r="A43" s="34" t="s">
        <v>590</v>
      </c>
      <c r="B43" s="12" t="s">
        <v>2783</v>
      </c>
      <c r="C43" s="22">
        <v>125</v>
      </c>
      <c r="D43" s="18">
        <v>1</v>
      </c>
      <c r="E43" s="15">
        <v>2307</v>
      </c>
      <c r="F43" s="12" t="s">
        <v>2787</v>
      </c>
      <c r="G43" s="18" t="s">
        <v>313</v>
      </c>
      <c r="H43" s="16">
        <v>39171020</v>
      </c>
      <c r="I43" s="17">
        <v>0.18</v>
      </c>
      <c r="J43" s="18" t="s">
        <v>2646</v>
      </c>
    </row>
    <row r="44" spans="1:10" ht="13" x14ac:dyDescent="0.3">
      <c r="A44" s="34" t="s">
        <v>591</v>
      </c>
      <c r="B44" s="12" t="s">
        <v>2783</v>
      </c>
      <c r="C44" s="22">
        <v>160</v>
      </c>
      <c r="D44" s="18">
        <v>1</v>
      </c>
      <c r="E44" s="15">
        <v>2796</v>
      </c>
      <c r="F44" s="12" t="s">
        <v>2787</v>
      </c>
      <c r="G44" s="18" t="s">
        <v>313</v>
      </c>
      <c r="H44" s="16">
        <v>39171020</v>
      </c>
      <c r="I44" s="17">
        <v>0.18</v>
      </c>
      <c r="J44" s="18" t="s">
        <v>2646</v>
      </c>
    </row>
    <row r="45" spans="1:10" ht="13" x14ac:dyDescent="0.3">
      <c r="A45" s="34" t="s">
        <v>592</v>
      </c>
      <c r="B45" s="12" t="s">
        <v>2788</v>
      </c>
      <c r="C45" s="22">
        <v>40</v>
      </c>
      <c r="D45" s="18">
        <v>1</v>
      </c>
      <c r="E45" s="15">
        <v>134</v>
      </c>
      <c r="F45" s="12" t="s">
        <v>2789</v>
      </c>
      <c r="G45" s="18" t="s">
        <v>314</v>
      </c>
      <c r="H45" s="16">
        <v>39171020</v>
      </c>
      <c r="I45" s="17">
        <v>0.18</v>
      </c>
      <c r="J45" s="18" t="s">
        <v>2646</v>
      </c>
    </row>
    <row r="46" spans="1:10" ht="13" x14ac:dyDescent="0.3">
      <c r="A46" s="34" t="s">
        <v>593</v>
      </c>
      <c r="B46" s="12" t="s">
        <v>2788</v>
      </c>
      <c r="C46" s="22">
        <v>50</v>
      </c>
      <c r="D46" s="18">
        <v>1</v>
      </c>
      <c r="E46" s="15">
        <v>176</v>
      </c>
      <c r="F46" s="12" t="s">
        <v>2789</v>
      </c>
      <c r="G46" s="18" t="s">
        <v>314</v>
      </c>
      <c r="H46" s="16">
        <v>39171020</v>
      </c>
      <c r="I46" s="17">
        <v>0.18</v>
      </c>
      <c r="J46" s="18" t="s">
        <v>2646</v>
      </c>
    </row>
    <row r="47" spans="1:10" ht="13" x14ac:dyDescent="0.3">
      <c r="A47" s="34" t="s">
        <v>594</v>
      </c>
      <c r="B47" s="12" t="s">
        <v>2788</v>
      </c>
      <c r="C47" s="22">
        <v>75</v>
      </c>
      <c r="D47" s="18">
        <v>1</v>
      </c>
      <c r="E47" s="15">
        <v>292</v>
      </c>
      <c r="F47" s="12" t="s">
        <v>2789</v>
      </c>
      <c r="G47" s="18" t="s">
        <v>314</v>
      </c>
      <c r="H47" s="16">
        <v>39171020</v>
      </c>
      <c r="I47" s="17">
        <v>0.18</v>
      </c>
      <c r="J47" s="18" t="s">
        <v>2646</v>
      </c>
    </row>
    <row r="48" spans="1:10" ht="13" x14ac:dyDescent="0.3">
      <c r="A48" s="34" t="s">
        <v>595</v>
      </c>
      <c r="B48" s="12" t="s">
        <v>2788</v>
      </c>
      <c r="C48" s="22">
        <v>110</v>
      </c>
      <c r="D48" s="18">
        <v>1</v>
      </c>
      <c r="E48" s="15">
        <v>484</v>
      </c>
      <c r="F48" s="12" t="s">
        <v>2789</v>
      </c>
      <c r="G48" s="18" t="s">
        <v>314</v>
      </c>
      <c r="H48" s="16">
        <v>39171020</v>
      </c>
      <c r="I48" s="17">
        <v>0.18</v>
      </c>
      <c r="J48" s="18" t="s">
        <v>2646</v>
      </c>
    </row>
    <row r="49" spans="1:10" ht="13" x14ac:dyDescent="0.3">
      <c r="A49" s="34" t="s">
        <v>596</v>
      </c>
      <c r="B49" s="12" t="s">
        <v>2788</v>
      </c>
      <c r="C49" s="22">
        <v>125</v>
      </c>
      <c r="D49" s="18">
        <v>1</v>
      </c>
      <c r="E49" s="15">
        <v>783</v>
      </c>
      <c r="F49" s="12" t="s">
        <v>2789</v>
      </c>
      <c r="G49" s="18" t="s">
        <v>314</v>
      </c>
      <c r="H49" s="16">
        <v>39171020</v>
      </c>
      <c r="I49" s="17">
        <v>0.18</v>
      </c>
      <c r="J49" s="18" t="s">
        <v>2646</v>
      </c>
    </row>
    <row r="50" spans="1:10" ht="13" x14ac:dyDescent="0.3">
      <c r="A50" s="34" t="s">
        <v>597</v>
      </c>
      <c r="B50" s="12" t="s">
        <v>2788</v>
      </c>
      <c r="C50" s="22">
        <v>160</v>
      </c>
      <c r="D50" s="18">
        <v>1</v>
      </c>
      <c r="E50" s="15">
        <v>964</v>
      </c>
      <c r="F50" s="12" t="s">
        <v>2789</v>
      </c>
      <c r="G50" s="18" t="s">
        <v>314</v>
      </c>
      <c r="H50" s="16">
        <v>39171020</v>
      </c>
      <c r="I50" s="17">
        <v>0.18</v>
      </c>
      <c r="J50" s="18" t="s">
        <v>2646</v>
      </c>
    </row>
    <row r="51" spans="1:10" ht="13" x14ac:dyDescent="0.3">
      <c r="A51" s="34" t="s">
        <v>598</v>
      </c>
      <c r="B51" s="12" t="s">
        <v>2790</v>
      </c>
      <c r="C51" s="22">
        <v>40</v>
      </c>
      <c r="D51" s="18">
        <v>1</v>
      </c>
      <c r="E51" s="15">
        <v>225</v>
      </c>
      <c r="F51" s="12" t="s">
        <v>2793</v>
      </c>
      <c r="G51" s="18" t="s">
        <v>314</v>
      </c>
      <c r="H51" s="16">
        <v>39171020</v>
      </c>
      <c r="I51" s="17">
        <v>0.18</v>
      </c>
      <c r="J51" s="18" t="s">
        <v>2646</v>
      </c>
    </row>
    <row r="52" spans="1:10" ht="13" x14ac:dyDescent="0.3">
      <c r="A52" s="34" t="s">
        <v>599</v>
      </c>
      <c r="B52" s="12" t="s">
        <v>2790</v>
      </c>
      <c r="C52" s="22">
        <v>50</v>
      </c>
      <c r="D52" s="18">
        <v>1</v>
      </c>
      <c r="E52" s="15">
        <v>294</v>
      </c>
      <c r="F52" s="12" t="s">
        <v>2793</v>
      </c>
      <c r="G52" s="18" t="s">
        <v>314</v>
      </c>
      <c r="H52" s="16">
        <v>39171020</v>
      </c>
      <c r="I52" s="17">
        <v>0.18</v>
      </c>
      <c r="J52" s="18" t="s">
        <v>2646</v>
      </c>
    </row>
    <row r="53" spans="1:10" ht="13" x14ac:dyDescent="0.3">
      <c r="A53" s="34" t="s">
        <v>600</v>
      </c>
      <c r="B53" s="12" t="s">
        <v>2790</v>
      </c>
      <c r="C53" s="22">
        <v>75</v>
      </c>
      <c r="D53" s="18">
        <v>1</v>
      </c>
      <c r="E53" s="15">
        <v>503</v>
      </c>
      <c r="F53" s="12" t="s">
        <v>2793</v>
      </c>
      <c r="G53" s="18" t="s">
        <v>314</v>
      </c>
      <c r="H53" s="16">
        <v>39171020</v>
      </c>
      <c r="I53" s="17">
        <v>0.18</v>
      </c>
      <c r="J53" s="18" t="s">
        <v>2646</v>
      </c>
    </row>
    <row r="54" spans="1:10" ht="13" x14ac:dyDescent="0.3">
      <c r="A54" s="34" t="s">
        <v>601</v>
      </c>
      <c r="B54" s="12" t="s">
        <v>2790</v>
      </c>
      <c r="C54" s="22">
        <v>110</v>
      </c>
      <c r="D54" s="18">
        <v>1</v>
      </c>
      <c r="E54" s="15">
        <v>822</v>
      </c>
      <c r="F54" s="12" t="s">
        <v>2793</v>
      </c>
      <c r="G54" s="18" t="s">
        <v>314</v>
      </c>
      <c r="H54" s="16">
        <v>39171020</v>
      </c>
      <c r="I54" s="17">
        <v>0.18</v>
      </c>
      <c r="J54" s="18" t="s">
        <v>2646</v>
      </c>
    </row>
    <row r="55" spans="1:10" ht="13" x14ac:dyDescent="0.3">
      <c r="A55" s="34" t="s">
        <v>602</v>
      </c>
      <c r="B55" s="12" t="s">
        <v>2790</v>
      </c>
      <c r="C55" s="22">
        <v>125</v>
      </c>
      <c r="D55" s="18">
        <v>1</v>
      </c>
      <c r="E55" s="15">
        <v>1329</v>
      </c>
      <c r="F55" s="12" t="s">
        <v>2793</v>
      </c>
      <c r="G55" s="18" t="s">
        <v>314</v>
      </c>
      <c r="H55" s="16">
        <v>39171020</v>
      </c>
      <c r="I55" s="17">
        <v>0.18</v>
      </c>
      <c r="J55" s="18" t="s">
        <v>2646</v>
      </c>
    </row>
    <row r="56" spans="1:10" ht="13" x14ac:dyDescent="0.3">
      <c r="A56" s="34" t="s">
        <v>603</v>
      </c>
      <c r="B56" s="12" t="s">
        <v>2790</v>
      </c>
      <c r="C56" s="22">
        <v>160</v>
      </c>
      <c r="D56" s="18">
        <v>1</v>
      </c>
      <c r="E56" s="15">
        <v>1625</v>
      </c>
      <c r="F56" s="12" t="s">
        <v>2793</v>
      </c>
      <c r="G56" s="18" t="s">
        <v>314</v>
      </c>
      <c r="H56" s="16">
        <v>39171020</v>
      </c>
      <c r="I56" s="17">
        <v>0.18</v>
      </c>
      <c r="J56" s="18" t="s">
        <v>2646</v>
      </c>
    </row>
    <row r="57" spans="1:10" ht="13" x14ac:dyDescent="0.3">
      <c r="A57" s="34" t="s">
        <v>604</v>
      </c>
      <c r="B57" s="12" t="s">
        <v>2791</v>
      </c>
      <c r="C57" s="22">
        <v>40</v>
      </c>
      <c r="D57" s="18">
        <v>1</v>
      </c>
      <c r="E57" s="15">
        <v>316</v>
      </c>
      <c r="F57" s="12" t="s">
        <v>2794</v>
      </c>
      <c r="G57" s="18" t="s">
        <v>314</v>
      </c>
      <c r="H57" s="16">
        <v>39171020</v>
      </c>
      <c r="I57" s="17">
        <v>0.18</v>
      </c>
      <c r="J57" s="18" t="s">
        <v>2646</v>
      </c>
    </row>
    <row r="58" spans="1:10" ht="13" x14ac:dyDescent="0.3">
      <c r="A58" s="34" t="s">
        <v>605</v>
      </c>
      <c r="B58" s="12" t="s">
        <v>2791</v>
      </c>
      <c r="C58" s="22">
        <v>50</v>
      </c>
      <c r="D58" s="18">
        <v>1</v>
      </c>
      <c r="E58" s="15">
        <v>413</v>
      </c>
      <c r="F58" s="12" t="s">
        <v>2794</v>
      </c>
      <c r="G58" s="18" t="s">
        <v>314</v>
      </c>
      <c r="H58" s="16">
        <v>39171020</v>
      </c>
      <c r="I58" s="17">
        <v>0.18</v>
      </c>
      <c r="J58" s="18" t="s">
        <v>2646</v>
      </c>
    </row>
    <row r="59" spans="1:10" ht="13" x14ac:dyDescent="0.3">
      <c r="A59" s="34" t="s">
        <v>606</v>
      </c>
      <c r="B59" s="12" t="s">
        <v>2791</v>
      </c>
      <c r="C59" s="22">
        <v>75</v>
      </c>
      <c r="D59" s="18">
        <v>1</v>
      </c>
      <c r="E59" s="15">
        <v>713</v>
      </c>
      <c r="F59" s="12" t="s">
        <v>2794</v>
      </c>
      <c r="G59" s="18" t="s">
        <v>314</v>
      </c>
      <c r="H59" s="16">
        <v>39171020</v>
      </c>
      <c r="I59" s="17">
        <v>0.18</v>
      </c>
      <c r="J59" s="18" t="s">
        <v>2646</v>
      </c>
    </row>
    <row r="60" spans="1:10" ht="13" x14ac:dyDescent="0.3">
      <c r="A60" s="34" t="s">
        <v>607</v>
      </c>
      <c r="B60" s="12" t="s">
        <v>2791</v>
      </c>
      <c r="C60" s="22">
        <v>110</v>
      </c>
      <c r="D60" s="18">
        <v>1</v>
      </c>
      <c r="E60" s="15">
        <v>1158</v>
      </c>
      <c r="F60" s="12" t="s">
        <v>2794</v>
      </c>
      <c r="G60" s="18" t="s">
        <v>314</v>
      </c>
      <c r="H60" s="16">
        <v>39171020</v>
      </c>
      <c r="I60" s="17">
        <v>0.18</v>
      </c>
      <c r="J60" s="18" t="s">
        <v>2646</v>
      </c>
    </row>
    <row r="61" spans="1:10" ht="13" x14ac:dyDescent="0.3">
      <c r="A61" s="34" t="s">
        <v>608</v>
      </c>
      <c r="B61" s="12" t="s">
        <v>2791</v>
      </c>
      <c r="C61" s="22">
        <v>125</v>
      </c>
      <c r="D61" s="18">
        <v>1</v>
      </c>
      <c r="E61" s="15">
        <v>1876</v>
      </c>
      <c r="F61" s="12" t="s">
        <v>2794</v>
      </c>
      <c r="G61" s="18" t="s">
        <v>314</v>
      </c>
      <c r="H61" s="16">
        <v>39171020</v>
      </c>
      <c r="I61" s="17">
        <v>0.18</v>
      </c>
      <c r="J61" s="18" t="s">
        <v>2646</v>
      </c>
    </row>
    <row r="62" spans="1:10" ht="13" x14ac:dyDescent="0.3">
      <c r="A62" s="34" t="s">
        <v>609</v>
      </c>
      <c r="B62" s="12" t="s">
        <v>2791</v>
      </c>
      <c r="C62" s="22">
        <v>160</v>
      </c>
      <c r="D62" s="18">
        <v>1</v>
      </c>
      <c r="E62" s="15">
        <v>2286</v>
      </c>
      <c r="F62" s="12" t="s">
        <v>2794</v>
      </c>
      <c r="G62" s="18" t="s">
        <v>314</v>
      </c>
      <c r="H62" s="16">
        <v>39171020</v>
      </c>
      <c r="I62" s="17">
        <v>0.18</v>
      </c>
      <c r="J62" s="18" t="s">
        <v>2646</v>
      </c>
    </row>
    <row r="63" spans="1:10" ht="13" x14ac:dyDescent="0.3">
      <c r="A63" s="34" t="s">
        <v>610</v>
      </c>
      <c r="B63" s="12" t="s">
        <v>2792</v>
      </c>
      <c r="C63" s="22">
        <v>40</v>
      </c>
      <c r="D63" s="18">
        <v>1</v>
      </c>
      <c r="E63" s="15">
        <v>407</v>
      </c>
      <c r="F63" s="12" t="s">
        <v>2795</v>
      </c>
      <c r="G63" s="18" t="s">
        <v>314</v>
      </c>
      <c r="H63" s="16">
        <v>39171020</v>
      </c>
      <c r="I63" s="17">
        <v>0.18</v>
      </c>
      <c r="J63" s="18" t="s">
        <v>2646</v>
      </c>
    </row>
    <row r="64" spans="1:10" ht="13" x14ac:dyDescent="0.3">
      <c r="A64" s="34" t="s">
        <v>611</v>
      </c>
      <c r="B64" s="12" t="s">
        <v>2792</v>
      </c>
      <c r="C64" s="22">
        <v>50</v>
      </c>
      <c r="D64" s="18">
        <v>1</v>
      </c>
      <c r="E64" s="15">
        <v>531</v>
      </c>
      <c r="F64" s="12" t="s">
        <v>2795</v>
      </c>
      <c r="G64" s="18" t="s">
        <v>314</v>
      </c>
      <c r="H64" s="16">
        <v>39171020</v>
      </c>
      <c r="I64" s="17">
        <v>0.18</v>
      </c>
      <c r="J64" s="18" t="s">
        <v>2646</v>
      </c>
    </row>
    <row r="65" spans="1:10" ht="13" x14ac:dyDescent="0.3">
      <c r="A65" s="34" t="s">
        <v>612</v>
      </c>
      <c r="B65" s="12" t="s">
        <v>2792</v>
      </c>
      <c r="C65" s="22">
        <v>75</v>
      </c>
      <c r="D65" s="18">
        <v>1</v>
      </c>
      <c r="E65" s="15">
        <v>924</v>
      </c>
      <c r="F65" s="12" t="s">
        <v>2795</v>
      </c>
      <c r="G65" s="18" t="s">
        <v>314</v>
      </c>
      <c r="H65" s="16">
        <v>39171020</v>
      </c>
      <c r="I65" s="17">
        <v>0.18</v>
      </c>
      <c r="J65" s="18" t="s">
        <v>2646</v>
      </c>
    </row>
    <row r="66" spans="1:10" ht="13" x14ac:dyDescent="0.3">
      <c r="A66" s="34" t="s">
        <v>613</v>
      </c>
      <c r="B66" s="12" t="s">
        <v>2792</v>
      </c>
      <c r="C66" s="22">
        <v>110</v>
      </c>
      <c r="D66" s="18">
        <v>1</v>
      </c>
      <c r="E66" s="15">
        <v>1495</v>
      </c>
      <c r="F66" s="12" t="s">
        <v>2795</v>
      </c>
      <c r="G66" s="18" t="s">
        <v>314</v>
      </c>
      <c r="H66" s="16">
        <v>39171020</v>
      </c>
      <c r="I66" s="17">
        <v>0.18</v>
      </c>
      <c r="J66" s="18" t="s">
        <v>2646</v>
      </c>
    </row>
    <row r="67" spans="1:10" ht="13" x14ac:dyDescent="0.3">
      <c r="A67" s="34" t="s">
        <v>614</v>
      </c>
      <c r="B67" s="12" t="s">
        <v>2792</v>
      </c>
      <c r="C67" s="22">
        <v>125</v>
      </c>
      <c r="D67" s="18">
        <v>1</v>
      </c>
      <c r="E67" s="15">
        <v>2424</v>
      </c>
      <c r="F67" s="12" t="s">
        <v>2795</v>
      </c>
      <c r="G67" s="18" t="s">
        <v>314</v>
      </c>
      <c r="H67" s="16">
        <v>39171020</v>
      </c>
      <c r="I67" s="17">
        <v>0.18</v>
      </c>
      <c r="J67" s="18" t="s">
        <v>2646</v>
      </c>
    </row>
    <row r="68" spans="1:10" ht="13" x14ac:dyDescent="0.3">
      <c r="A68" s="34" t="s">
        <v>615</v>
      </c>
      <c r="B68" s="12" t="s">
        <v>2792</v>
      </c>
      <c r="C68" s="22">
        <v>160</v>
      </c>
      <c r="D68" s="18">
        <v>1</v>
      </c>
      <c r="E68" s="15">
        <v>2947</v>
      </c>
      <c r="F68" s="12" t="s">
        <v>2795</v>
      </c>
      <c r="G68" s="18" t="s">
        <v>314</v>
      </c>
      <c r="H68" s="16">
        <v>39171020</v>
      </c>
      <c r="I68" s="17">
        <v>0.18</v>
      </c>
      <c r="J68" s="18" t="s">
        <v>2646</v>
      </c>
    </row>
    <row r="69" spans="1:10" ht="13" x14ac:dyDescent="0.3">
      <c r="A69" s="34">
        <v>40040150</v>
      </c>
      <c r="B69" s="23" t="s">
        <v>2796</v>
      </c>
      <c r="C69" s="13">
        <v>110</v>
      </c>
      <c r="D69" s="18">
        <v>20</v>
      </c>
      <c r="E69" s="15">
        <v>234</v>
      </c>
      <c r="F69" s="23" t="s">
        <v>128</v>
      </c>
      <c r="G69" s="18" t="s">
        <v>315</v>
      </c>
      <c r="H69" s="16">
        <v>39174000</v>
      </c>
      <c r="I69" s="17">
        <v>0.18</v>
      </c>
      <c r="J69" s="18" t="s">
        <v>2648</v>
      </c>
    </row>
    <row r="70" spans="1:10" ht="13" x14ac:dyDescent="0.3">
      <c r="A70" s="34">
        <v>40040350</v>
      </c>
      <c r="B70" s="23" t="s">
        <v>2797</v>
      </c>
      <c r="C70" s="13">
        <v>110</v>
      </c>
      <c r="D70" s="18">
        <v>20</v>
      </c>
      <c r="E70" s="15">
        <v>239</v>
      </c>
      <c r="F70" s="23" t="s">
        <v>129</v>
      </c>
      <c r="G70" s="18" t="s">
        <v>315</v>
      </c>
      <c r="H70" s="16">
        <v>39174000</v>
      </c>
      <c r="I70" s="17">
        <v>0.18</v>
      </c>
      <c r="J70" s="18" t="s">
        <v>2648</v>
      </c>
    </row>
    <row r="71" spans="1:10" ht="13" x14ac:dyDescent="0.3">
      <c r="A71" s="34" t="s">
        <v>2798</v>
      </c>
      <c r="B71" s="23" t="s">
        <v>2799</v>
      </c>
      <c r="C71" s="13">
        <v>40</v>
      </c>
      <c r="D71" s="18">
        <v>20</v>
      </c>
      <c r="E71" s="15">
        <v>66</v>
      </c>
      <c r="F71" s="23" t="s">
        <v>130</v>
      </c>
      <c r="G71" s="18" t="s">
        <v>315</v>
      </c>
      <c r="H71" s="16">
        <v>39174000</v>
      </c>
      <c r="I71" s="17">
        <v>0.18</v>
      </c>
      <c r="J71" s="18" t="s">
        <v>2648</v>
      </c>
    </row>
    <row r="72" spans="1:10" ht="13" x14ac:dyDescent="0.3">
      <c r="A72" s="34" t="s">
        <v>2800</v>
      </c>
      <c r="B72" s="23" t="s">
        <v>2799</v>
      </c>
      <c r="C72" s="13">
        <v>50</v>
      </c>
      <c r="D72" s="18">
        <v>80</v>
      </c>
      <c r="E72" s="15">
        <v>82</v>
      </c>
      <c r="F72" s="23" t="s">
        <v>130</v>
      </c>
      <c r="G72" s="18" t="s">
        <v>315</v>
      </c>
      <c r="H72" s="16">
        <v>39174000</v>
      </c>
      <c r="I72" s="17">
        <v>0.18</v>
      </c>
      <c r="J72" s="18" t="s">
        <v>2648</v>
      </c>
    </row>
    <row r="73" spans="1:10" ht="13" x14ac:dyDescent="0.3">
      <c r="A73" s="34" t="s">
        <v>2658</v>
      </c>
      <c r="B73" s="23" t="s">
        <v>2799</v>
      </c>
      <c r="C73" s="13">
        <v>75</v>
      </c>
      <c r="D73" s="18">
        <v>55</v>
      </c>
      <c r="E73" s="15">
        <v>129</v>
      </c>
      <c r="F73" s="23" t="s">
        <v>130</v>
      </c>
      <c r="G73" s="18" t="s">
        <v>315</v>
      </c>
      <c r="H73" s="16">
        <v>39174000</v>
      </c>
      <c r="I73" s="17">
        <v>0.18</v>
      </c>
      <c r="J73" s="18" t="s">
        <v>2648</v>
      </c>
    </row>
    <row r="74" spans="1:10" ht="13" x14ac:dyDescent="0.3">
      <c r="A74" s="34" t="s">
        <v>2659</v>
      </c>
      <c r="B74" s="23" t="s">
        <v>2799</v>
      </c>
      <c r="C74" s="13">
        <v>110</v>
      </c>
      <c r="D74" s="18">
        <v>28</v>
      </c>
      <c r="E74" s="15">
        <v>186</v>
      </c>
      <c r="F74" s="23" t="s">
        <v>130</v>
      </c>
      <c r="G74" s="18" t="s">
        <v>315</v>
      </c>
      <c r="H74" s="16">
        <v>39174000</v>
      </c>
      <c r="I74" s="17">
        <v>0.18</v>
      </c>
      <c r="J74" s="18" t="s">
        <v>2648</v>
      </c>
    </row>
    <row r="75" spans="1:10" ht="13" x14ac:dyDescent="0.3">
      <c r="A75" s="34">
        <v>40050460</v>
      </c>
      <c r="B75" s="23" t="s">
        <v>2799</v>
      </c>
      <c r="C75" s="13">
        <v>125</v>
      </c>
      <c r="D75" s="94">
        <v>10</v>
      </c>
      <c r="E75" s="15">
        <v>768</v>
      </c>
      <c r="F75" s="23" t="s">
        <v>130</v>
      </c>
      <c r="G75" s="18" t="s">
        <v>315</v>
      </c>
      <c r="H75" s="16">
        <v>39174000</v>
      </c>
      <c r="I75" s="17">
        <v>0.18</v>
      </c>
      <c r="J75" s="18" t="s">
        <v>2648</v>
      </c>
    </row>
    <row r="76" spans="1:10" ht="13" x14ac:dyDescent="0.3">
      <c r="A76" s="34">
        <v>40060460</v>
      </c>
      <c r="B76" s="23" t="s">
        <v>2799</v>
      </c>
      <c r="C76" s="13">
        <v>160</v>
      </c>
      <c r="D76" s="18">
        <v>10</v>
      </c>
      <c r="E76" s="15">
        <v>1013</v>
      </c>
      <c r="F76" s="23" t="s">
        <v>130</v>
      </c>
      <c r="G76" s="18" t="s">
        <v>315</v>
      </c>
      <c r="H76" s="16">
        <v>39174000</v>
      </c>
      <c r="I76" s="17">
        <v>0.18</v>
      </c>
      <c r="J76" s="18" t="s">
        <v>2648</v>
      </c>
    </row>
    <row r="77" spans="1:10" ht="13" x14ac:dyDescent="0.3">
      <c r="A77" s="34">
        <v>40020467</v>
      </c>
      <c r="B77" s="24" t="s">
        <v>2801</v>
      </c>
      <c r="C77" s="13">
        <v>50</v>
      </c>
      <c r="D77" s="18">
        <v>60</v>
      </c>
      <c r="E77" s="15">
        <v>149</v>
      </c>
      <c r="F77" s="23" t="s">
        <v>131</v>
      </c>
      <c r="G77" s="18" t="s">
        <v>315</v>
      </c>
      <c r="H77" s="16">
        <v>39174000</v>
      </c>
      <c r="I77" s="17">
        <v>0.18</v>
      </c>
      <c r="J77" s="18" t="s">
        <v>2648</v>
      </c>
    </row>
    <row r="78" spans="1:10" ht="13" x14ac:dyDescent="0.3">
      <c r="A78" s="34">
        <v>40040467</v>
      </c>
      <c r="B78" s="24" t="s">
        <v>2801</v>
      </c>
      <c r="C78" s="13">
        <v>110</v>
      </c>
      <c r="D78" s="18">
        <v>18</v>
      </c>
      <c r="E78" s="15">
        <v>456</v>
      </c>
      <c r="F78" s="23" t="s">
        <v>131</v>
      </c>
      <c r="G78" s="18" t="s">
        <v>315</v>
      </c>
      <c r="H78" s="16">
        <v>39174000</v>
      </c>
      <c r="I78" s="17">
        <v>0.18</v>
      </c>
      <c r="J78" s="18" t="s">
        <v>2648</v>
      </c>
    </row>
    <row r="79" spans="1:10" ht="13" x14ac:dyDescent="0.3">
      <c r="A79" s="34">
        <v>40040468</v>
      </c>
      <c r="B79" s="24" t="s">
        <v>2802</v>
      </c>
      <c r="C79" s="13">
        <v>110</v>
      </c>
      <c r="D79" s="94">
        <v>18</v>
      </c>
      <c r="E79" s="15">
        <v>387</v>
      </c>
      <c r="F79" s="23" t="s">
        <v>132</v>
      </c>
      <c r="G79" s="18" t="s">
        <v>315</v>
      </c>
      <c r="H79" s="16">
        <v>39174000</v>
      </c>
      <c r="I79" s="17">
        <v>0.18</v>
      </c>
      <c r="J79" s="18" t="s">
        <v>2648</v>
      </c>
    </row>
    <row r="80" spans="1:10" ht="13" x14ac:dyDescent="0.3">
      <c r="A80" s="34">
        <v>40040469</v>
      </c>
      <c r="B80" s="24" t="s">
        <v>2803</v>
      </c>
      <c r="C80" s="13">
        <v>110</v>
      </c>
      <c r="D80" s="94">
        <v>18</v>
      </c>
      <c r="E80" s="15">
        <v>382</v>
      </c>
      <c r="F80" s="23" t="s">
        <v>133</v>
      </c>
      <c r="G80" s="18" t="s">
        <v>315</v>
      </c>
      <c r="H80" s="16">
        <v>39174000</v>
      </c>
      <c r="I80" s="17">
        <v>0.18</v>
      </c>
      <c r="J80" s="18" t="s">
        <v>2648</v>
      </c>
    </row>
    <row r="81" spans="1:10" ht="13" x14ac:dyDescent="0.3">
      <c r="A81" s="34">
        <v>40060457</v>
      </c>
      <c r="B81" s="24" t="s">
        <v>2801</v>
      </c>
      <c r="C81" s="13">
        <v>160</v>
      </c>
      <c r="D81" s="18">
        <v>4</v>
      </c>
      <c r="E81" s="15">
        <v>1751</v>
      </c>
      <c r="F81" s="23" t="s">
        <v>134</v>
      </c>
      <c r="G81" s="18" t="s">
        <v>315</v>
      </c>
      <c r="H81" s="16">
        <v>39174000</v>
      </c>
      <c r="I81" s="17">
        <v>0.18</v>
      </c>
      <c r="J81" s="18" t="s">
        <v>2648</v>
      </c>
    </row>
    <row r="82" spans="1:10" ht="13" x14ac:dyDescent="0.3">
      <c r="A82" s="34">
        <v>40060458</v>
      </c>
      <c r="B82" s="24" t="s">
        <v>2802</v>
      </c>
      <c r="C82" s="13">
        <v>160</v>
      </c>
      <c r="D82" s="18">
        <v>4</v>
      </c>
      <c r="E82" s="15">
        <v>1504</v>
      </c>
      <c r="F82" s="23" t="s">
        <v>135</v>
      </c>
      <c r="G82" s="18" t="s">
        <v>315</v>
      </c>
      <c r="H82" s="16">
        <v>39174000</v>
      </c>
      <c r="I82" s="17">
        <v>0.18</v>
      </c>
      <c r="J82" s="18" t="s">
        <v>2648</v>
      </c>
    </row>
    <row r="83" spans="1:10" ht="13" x14ac:dyDescent="0.3">
      <c r="A83" s="34">
        <v>40060459</v>
      </c>
      <c r="B83" s="24" t="s">
        <v>2803</v>
      </c>
      <c r="C83" s="13">
        <v>160</v>
      </c>
      <c r="D83" s="18">
        <v>4</v>
      </c>
      <c r="E83" s="15">
        <v>1626</v>
      </c>
      <c r="F83" s="23" t="s">
        <v>133</v>
      </c>
      <c r="G83" s="18" t="s">
        <v>315</v>
      </c>
      <c r="H83" s="16">
        <v>39174000</v>
      </c>
      <c r="I83" s="17">
        <v>0.18</v>
      </c>
      <c r="J83" s="18" t="s">
        <v>2648</v>
      </c>
    </row>
    <row r="84" spans="1:10" ht="13" x14ac:dyDescent="0.3">
      <c r="A84" s="34" t="s">
        <v>2804</v>
      </c>
      <c r="B84" s="23" t="s">
        <v>2805</v>
      </c>
      <c r="C84" s="13">
        <v>40</v>
      </c>
      <c r="D84" s="18">
        <v>20</v>
      </c>
      <c r="E84" s="15">
        <v>72</v>
      </c>
      <c r="F84" s="23" t="s">
        <v>136</v>
      </c>
      <c r="G84" s="18" t="s">
        <v>315</v>
      </c>
      <c r="H84" s="16">
        <v>39174000</v>
      </c>
      <c r="I84" s="17">
        <v>0.18</v>
      </c>
      <c r="J84" s="18" t="s">
        <v>2648</v>
      </c>
    </row>
    <row r="85" spans="1:10" ht="13" x14ac:dyDescent="0.3">
      <c r="A85" s="34" t="s">
        <v>2660</v>
      </c>
      <c r="B85" s="23" t="s">
        <v>2805</v>
      </c>
      <c r="C85" s="13">
        <v>50</v>
      </c>
      <c r="D85" s="94">
        <v>70</v>
      </c>
      <c r="E85" s="15">
        <v>77</v>
      </c>
      <c r="F85" s="23" t="s">
        <v>136</v>
      </c>
      <c r="G85" s="18" t="s">
        <v>315</v>
      </c>
      <c r="H85" s="16">
        <v>39174000</v>
      </c>
      <c r="I85" s="17">
        <v>0.18</v>
      </c>
      <c r="J85" s="18" t="s">
        <v>2648</v>
      </c>
    </row>
    <row r="86" spans="1:10" ht="13" x14ac:dyDescent="0.3">
      <c r="A86" s="34">
        <v>40030860</v>
      </c>
      <c r="B86" s="23" t="s">
        <v>2805</v>
      </c>
      <c r="C86" s="13">
        <v>75</v>
      </c>
      <c r="D86" s="18">
        <v>20</v>
      </c>
      <c r="E86" s="15">
        <v>155</v>
      </c>
      <c r="F86" s="23" t="s">
        <v>136</v>
      </c>
      <c r="G86" s="18" t="s">
        <v>315</v>
      </c>
      <c r="H86" s="16">
        <v>39174000</v>
      </c>
      <c r="I86" s="17">
        <v>0.18</v>
      </c>
      <c r="J86" s="18" t="s">
        <v>2648</v>
      </c>
    </row>
    <row r="87" spans="1:10" ht="13" x14ac:dyDescent="0.3">
      <c r="A87" s="34" t="s">
        <v>2661</v>
      </c>
      <c r="B87" s="23" t="s">
        <v>2805</v>
      </c>
      <c r="C87" s="13">
        <v>110</v>
      </c>
      <c r="D87" s="18">
        <v>20</v>
      </c>
      <c r="E87" s="15">
        <v>270</v>
      </c>
      <c r="F87" s="23" t="s">
        <v>136</v>
      </c>
      <c r="G87" s="18" t="s">
        <v>315</v>
      </c>
      <c r="H87" s="16">
        <v>39174000</v>
      </c>
      <c r="I87" s="17">
        <v>0.18</v>
      </c>
      <c r="J87" s="18" t="s">
        <v>2648</v>
      </c>
    </row>
    <row r="88" spans="1:10" ht="13" x14ac:dyDescent="0.3">
      <c r="A88" s="34">
        <v>40050860</v>
      </c>
      <c r="B88" s="23" t="s">
        <v>2805</v>
      </c>
      <c r="C88" s="13">
        <v>125</v>
      </c>
      <c r="D88" s="94">
        <v>15</v>
      </c>
      <c r="E88" s="15">
        <v>700</v>
      </c>
      <c r="F88" s="23" t="s">
        <v>136</v>
      </c>
      <c r="G88" s="18" t="s">
        <v>315</v>
      </c>
      <c r="H88" s="16">
        <v>39174000</v>
      </c>
      <c r="I88" s="17">
        <v>0.18</v>
      </c>
      <c r="J88" s="18" t="s">
        <v>2648</v>
      </c>
    </row>
    <row r="89" spans="1:10" ht="13" x14ac:dyDescent="0.3">
      <c r="A89" s="34">
        <v>40060860</v>
      </c>
      <c r="B89" s="23" t="s">
        <v>2805</v>
      </c>
      <c r="C89" s="13">
        <v>160</v>
      </c>
      <c r="D89" s="94">
        <v>10</v>
      </c>
      <c r="E89" s="15">
        <v>723</v>
      </c>
      <c r="F89" s="23" t="s">
        <v>136</v>
      </c>
      <c r="G89" s="18" t="s">
        <v>315</v>
      </c>
      <c r="H89" s="16">
        <v>39174000</v>
      </c>
      <c r="I89" s="17">
        <v>0.18</v>
      </c>
      <c r="J89" s="18" t="s">
        <v>2648</v>
      </c>
    </row>
    <row r="90" spans="1:10" ht="13" x14ac:dyDescent="0.3">
      <c r="A90" s="34" t="s">
        <v>2662</v>
      </c>
      <c r="B90" s="24" t="s">
        <v>2806</v>
      </c>
      <c r="C90" s="25">
        <v>50</v>
      </c>
      <c r="D90" s="18">
        <v>60</v>
      </c>
      <c r="E90" s="15">
        <v>221</v>
      </c>
      <c r="F90" s="56" t="s">
        <v>137</v>
      </c>
      <c r="G90" s="18" t="s">
        <v>315</v>
      </c>
      <c r="H90" s="16">
        <v>39174000</v>
      </c>
      <c r="I90" s="17">
        <v>0.18</v>
      </c>
      <c r="J90" s="18" t="s">
        <v>2648</v>
      </c>
    </row>
    <row r="91" spans="1:10" ht="13" x14ac:dyDescent="0.3">
      <c r="A91" s="34">
        <v>40030867</v>
      </c>
      <c r="B91" s="24" t="s">
        <v>2806</v>
      </c>
      <c r="C91" s="25">
        <v>75</v>
      </c>
      <c r="D91" s="18">
        <v>40</v>
      </c>
      <c r="E91" s="15">
        <v>209</v>
      </c>
      <c r="F91" s="56" t="s">
        <v>137</v>
      </c>
      <c r="G91" s="18" t="s">
        <v>315</v>
      </c>
      <c r="H91" s="16">
        <v>39174000</v>
      </c>
      <c r="I91" s="17">
        <v>0.18</v>
      </c>
      <c r="J91" s="18" t="s">
        <v>2648</v>
      </c>
    </row>
    <row r="92" spans="1:10" ht="13" x14ac:dyDescent="0.3">
      <c r="A92" s="34" t="s">
        <v>2663</v>
      </c>
      <c r="B92" s="24" t="s">
        <v>2806</v>
      </c>
      <c r="C92" s="25">
        <v>110</v>
      </c>
      <c r="D92" s="18">
        <v>18</v>
      </c>
      <c r="E92" s="15">
        <v>518</v>
      </c>
      <c r="F92" s="56" t="s">
        <v>137</v>
      </c>
      <c r="G92" s="18" t="s">
        <v>315</v>
      </c>
      <c r="H92" s="16">
        <v>39174000</v>
      </c>
      <c r="I92" s="17">
        <v>0.18</v>
      </c>
      <c r="J92" s="18" t="s">
        <v>2648</v>
      </c>
    </row>
    <row r="93" spans="1:10" ht="13" x14ac:dyDescent="0.3">
      <c r="A93" s="34">
        <v>40060857</v>
      </c>
      <c r="B93" s="24" t="s">
        <v>2806</v>
      </c>
      <c r="C93" s="25">
        <v>160</v>
      </c>
      <c r="D93" s="18">
        <v>8</v>
      </c>
      <c r="E93" s="15">
        <v>2429</v>
      </c>
      <c r="F93" s="56" t="s">
        <v>137</v>
      </c>
      <c r="G93" s="18" t="s">
        <v>315</v>
      </c>
      <c r="H93" s="16">
        <v>39174000</v>
      </c>
      <c r="I93" s="17">
        <v>0.18</v>
      </c>
      <c r="J93" s="18" t="s">
        <v>2648</v>
      </c>
    </row>
    <row r="94" spans="1:10" ht="13" x14ac:dyDescent="0.3">
      <c r="A94" s="34" t="s">
        <v>2807</v>
      </c>
      <c r="B94" s="24" t="s">
        <v>2808</v>
      </c>
      <c r="C94" s="25">
        <v>110</v>
      </c>
      <c r="D94" s="18">
        <v>18</v>
      </c>
      <c r="E94" s="15">
        <v>554</v>
      </c>
      <c r="F94" s="56" t="s">
        <v>138</v>
      </c>
      <c r="G94" s="18" t="s">
        <v>315</v>
      </c>
      <c r="H94" s="16">
        <v>39174000</v>
      </c>
      <c r="I94" s="17">
        <v>0.18</v>
      </c>
      <c r="J94" s="18" t="s">
        <v>2648</v>
      </c>
    </row>
    <row r="95" spans="1:10" ht="13" x14ac:dyDescent="0.3">
      <c r="A95" s="34">
        <v>40040869</v>
      </c>
      <c r="B95" s="24" t="s">
        <v>2809</v>
      </c>
      <c r="C95" s="25">
        <v>110</v>
      </c>
      <c r="D95" s="94">
        <v>18</v>
      </c>
      <c r="E95" s="15">
        <v>566</v>
      </c>
      <c r="F95" s="56" t="s">
        <v>139</v>
      </c>
      <c r="G95" s="18" t="s">
        <v>315</v>
      </c>
      <c r="H95" s="16">
        <v>39174000</v>
      </c>
      <c r="I95" s="17">
        <v>0.18</v>
      </c>
      <c r="J95" s="18" t="s">
        <v>2648</v>
      </c>
    </row>
    <row r="96" spans="1:10" ht="13" x14ac:dyDescent="0.3">
      <c r="A96" s="34">
        <v>40060858</v>
      </c>
      <c r="B96" s="24" t="s">
        <v>2808</v>
      </c>
      <c r="C96" s="25">
        <v>160</v>
      </c>
      <c r="D96" s="18">
        <v>4</v>
      </c>
      <c r="E96" s="15">
        <v>1907</v>
      </c>
      <c r="F96" s="56" t="s">
        <v>138</v>
      </c>
      <c r="G96" s="18" t="s">
        <v>315</v>
      </c>
      <c r="H96" s="16">
        <v>39174000</v>
      </c>
      <c r="I96" s="17">
        <v>0.18</v>
      </c>
      <c r="J96" s="18" t="s">
        <v>2648</v>
      </c>
    </row>
    <row r="97" spans="1:10" ht="13" x14ac:dyDescent="0.3">
      <c r="A97" s="34">
        <v>40060859</v>
      </c>
      <c r="B97" s="24" t="s">
        <v>2809</v>
      </c>
      <c r="C97" s="25">
        <v>160</v>
      </c>
      <c r="D97" s="18">
        <v>4</v>
      </c>
      <c r="E97" s="15">
        <v>1928</v>
      </c>
      <c r="F97" s="56" t="s">
        <v>139</v>
      </c>
      <c r="G97" s="18" t="s">
        <v>315</v>
      </c>
      <c r="H97" s="16">
        <v>39174000</v>
      </c>
      <c r="I97" s="17">
        <v>0.18</v>
      </c>
      <c r="J97" s="18" t="s">
        <v>2648</v>
      </c>
    </row>
    <row r="98" spans="1:10" ht="13" x14ac:dyDescent="0.3">
      <c r="A98" s="34">
        <v>40611440</v>
      </c>
      <c r="B98" s="24" t="s">
        <v>2810</v>
      </c>
      <c r="C98" s="25" t="s">
        <v>71</v>
      </c>
      <c r="D98" s="18">
        <v>20</v>
      </c>
      <c r="E98" s="15">
        <v>96</v>
      </c>
      <c r="F98" s="23" t="s">
        <v>140</v>
      </c>
      <c r="G98" s="18" t="s">
        <v>315</v>
      </c>
      <c r="H98" s="16">
        <v>39174000</v>
      </c>
      <c r="I98" s="17">
        <v>0.18</v>
      </c>
      <c r="J98" s="18" t="s">
        <v>2648</v>
      </c>
    </row>
    <row r="99" spans="1:10" ht="13" x14ac:dyDescent="0.3">
      <c r="A99" s="34">
        <v>40622460</v>
      </c>
      <c r="B99" s="24" t="s">
        <v>2810</v>
      </c>
      <c r="C99" s="25" t="s">
        <v>74</v>
      </c>
      <c r="D99" s="18">
        <v>20</v>
      </c>
      <c r="E99" s="15">
        <v>140</v>
      </c>
      <c r="F99" s="23" t="s">
        <v>140</v>
      </c>
      <c r="G99" s="18" t="s">
        <v>315</v>
      </c>
      <c r="H99" s="16">
        <v>39174000</v>
      </c>
      <c r="I99" s="17">
        <v>0.18</v>
      </c>
      <c r="J99" s="18" t="s">
        <v>2648</v>
      </c>
    </row>
    <row r="100" spans="1:10" ht="13" x14ac:dyDescent="0.3">
      <c r="A100" s="34" t="s">
        <v>2664</v>
      </c>
      <c r="B100" s="24" t="s">
        <v>2810</v>
      </c>
      <c r="C100" s="25" t="s">
        <v>78</v>
      </c>
      <c r="D100" s="18">
        <v>32</v>
      </c>
      <c r="E100" s="15">
        <v>262</v>
      </c>
      <c r="F100" s="23" t="s">
        <v>140</v>
      </c>
      <c r="G100" s="18" t="s">
        <v>315</v>
      </c>
      <c r="H100" s="16">
        <v>39174000</v>
      </c>
      <c r="I100" s="17">
        <v>0.18</v>
      </c>
      <c r="J100" s="18" t="s">
        <v>2648</v>
      </c>
    </row>
    <row r="101" spans="1:10" ht="13" x14ac:dyDescent="0.3">
      <c r="A101" s="34" t="s">
        <v>2665</v>
      </c>
      <c r="B101" s="24" t="s">
        <v>2810</v>
      </c>
      <c r="C101" s="25" t="s">
        <v>82</v>
      </c>
      <c r="D101" s="18">
        <v>10</v>
      </c>
      <c r="E101" s="15">
        <v>575</v>
      </c>
      <c r="F101" s="23" t="s">
        <v>140</v>
      </c>
      <c r="G101" s="18" t="s">
        <v>315</v>
      </c>
      <c r="H101" s="16">
        <v>39174000</v>
      </c>
      <c r="I101" s="17">
        <v>0.18</v>
      </c>
      <c r="J101" s="18" t="s">
        <v>2648</v>
      </c>
    </row>
    <row r="102" spans="1:10" ht="13" x14ac:dyDescent="0.3">
      <c r="A102" s="34">
        <v>40655460</v>
      </c>
      <c r="B102" s="24" t="s">
        <v>2810</v>
      </c>
      <c r="C102" s="25" t="s">
        <v>85</v>
      </c>
      <c r="D102" s="18">
        <v>20</v>
      </c>
      <c r="E102" s="15">
        <v>1475</v>
      </c>
      <c r="F102" s="23" t="s">
        <v>140</v>
      </c>
      <c r="G102" s="18" t="s">
        <v>315</v>
      </c>
      <c r="H102" s="16">
        <v>39174000</v>
      </c>
      <c r="I102" s="17">
        <v>0.18</v>
      </c>
      <c r="J102" s="18" t="s">
        <v>2648</v>
      </c>
    </row>
    <row r="103" spans="1:10" ht="13" x14ac:dyDescent="0.3">
      <c r="A103" s="34">
        <v>40666450</v>
      </c>
      <c r="B103" s="24" t="s">
        <v>2810</v>
      </c>
      <c r="C103" s="25" t="s">
        <v>87</v>
      </c>
      <c r="D103" s="18">
        <v>10</v>
      </c>
      <c r="E103" s="15">
        <v>1942</v>
      </c>
      <c r="F103" s="23" t="s">
        <v>140</v>
      </c>
      <c r="G103" s="18" t="s">
        <v>315</v>
      </c>
      <c r="H103" s="16">
        <v>39174000</v>
      </c>
      <c r="I103" s="17">
        <v>0.18</v>
      </c>
      <c r="J103" s="18" t="s">
        <v>2648</v>
      </c>
    </row>
    <row r="104" spans="1:10" ht="13" x14ac:dyDescent="0.3">
      <c r="A104" s="34">
        <v>40621440</v>
      </c>
      <c r="B104" s="24" t="s">
        <v>2810</v>
      </c>
      <c r="C104" s="25" t="s">
        <v>73</v>
      </c>
      <c r="D104" s="18">
        <v>20</v>
      </c>
      <c r="E104" s="15">
        <v>143</v>
      </c>
      <c r="F104" s="23" t="s">
        <v>2642</v>
      </c>
      <c r="G104" s="18" t="s">
        <v>315</v>
      </c>
      <c r="H104" s="16">
        <v>39174000</v>
      </c>
      <c r="I104" s="17">
        <v>0.18</v>
      </c>
      <c r="J104" s="18" t="s">
        <v>2648</v>
      </c>
    </row>
    <row r="105" spans="1:10" ht="13" x14ac:dyDescent="0.3">
      <c r="A105" s="34">
        <v>40632460</v>
      </c>
      <c r="B105" s="24" t="s">
        <v>2810</v>
      </c>
      <c r="C105" s="25" t="s">
        <v>76</v>
      </c>
      <c r="D105" s="94">
        <v>34</v>
      </c>
      <c r="E105" s="15">
        <v>351</v>
      </c>
      <c r="F105" s="23" t="s">
        <v>2642</v>
      </c>
      <c r="G105" s="18" t="s">
        <v>315</v>
      </c>
      <c r="H105" s="16">
        <v>39174000</v>
      </c>
      <c r="I105" s="17">
        <v>0.18</v>
      </c>
      <c r="J105" s="18" t="s">
        <v>2648</v>
      </c>
    </row>
    <row r="106" spans="1:10" ht="13" x14ac:dyDescent="0.3">
      <c r="A106" s="34">
        <v>40642460</v>
      </c>
      <c r="B106" s="24" t="s">
        <v>2810</v>
      </c>
      <c r="C106" s="25" t="s">
        <v>79</v>
      </c>
      <c r="D106" s="18">
        <v>20</v>
      </c>
      <c r="E106" s="15">
        <v>362</v>
      </c>
      <c r="F106" s="23" t="s">
        <v>2642</v>
      </c>
      <c r="G106" s="18" t="s">
        <v>315</v>
      </c>
      <c r="H106" s="16">
        <v>39174000</v>
      </c>
      <c r="I106" s="17">
        <v>0.18</v>
      </c>
      <c r="J106" s="18" t="s">
        <v>2648</v>
      </c>
    </row>
    <row r="107" spans="1:10" ht="13" x14ac:dyDescent="0.3">
      <c r="A107" s="34">
        <v>40643460</v>
      </c>
      <c r="B107" s="24" t="s">
        <v>2810</v>
      </c>
      <c r="C107" s="13" t="s">
        <v>80</v>
      </c>
      <c r="D107" s="18">
        <v>20</v>
      </c>
      <c r="E107" s="15">
        <v>579</v>
      </c>
      <c r="F107" s="23" t="s">
        <v>2642</v>
      </c>
      <c r="G107" s="18" t="s">
        <v>315</v>
      </c>
      <c r="H107" s="16">
        <v>39174000</v>
      </c>
      <c r="I107" s="17">
        <v>0.18</v>
      </c>
      <c r="J107" s="18" t="s">
        <v>2648</v>
      </c>
    </row>
    <row r="108" spans="1:10" ht="13" x14ac:dyDescent="0.3">
      <c r="A108" s="34">
        <v>40654460</v>
      </c>
      <c r="B108" s="24" t="s">
        <v>2810</v>
      </c>
      <c r="C108" s="13" t="s">
        <v>84</v>
      </c>
      <c r="D108" s="18">
        <v>10</v>
      </c>
      <c r="E108" s="15">
        <v>1270</v>
      </c>
      <c r="F108" s="23" t="s">
        <v>2642</v>
      </c>
      <c r="G108" s="18" t="s">
        <v>315</v>
      </c>
      <c r="H108" s="16">
        <v>39174000</v>
      </c>
      <c r="I108" s="17">
        <v>0.18</v>
      </c>
      <c r="J108" s="18" t="s">
        <v>2648</v>
      </c>
    </row>
    <row r="109" spans="1:10" ht="13" x14ac:dyDescent="0.3">
      <c r="A109" s="34">
        <v>40664450</v>
      </c>
      <c r="B109" s="24" t="s">
        <v>2810</v>
      </c>
      <c r="C109" s="13" t="s">
        <v>86</v>
      </c>
      <c r="D109" s="18">
        <v>10</v>
      </c>
      <c r="E109" s="15">
        <v>1744</v>
      </c>
      <c r="F109" s="23" t="s">
        <v>2642</v>
      </c>
      <c r="G109" s="18" t="s">
        <v>315</v>
      </c>
      <c r="H109" s="16">
        <v>39174000</v>
      </c>
      <c r="I109" s="17">
        <v>0.18</v>
      </c>
      <c r="J109" s="18" t="s">
        <v>2648</v>
      </c>
    </row>
    <row r="110" spans="1:10" ht="13" x14ac:dyDescent="0.3">
      <c r="A110" s="34">
        <v>40611860</v>
      </c>
      <c r="B110" s="24" t="s">
        <v>2811</v>
      </c>
      <c r="C110" s="25" t="s">
        <v>71</v>
      </c>
      <c r="D110" s="53">
        <v>20</v>
      </c>
      <c r="E110" s="15">
        <v>111</v>
      </c>
      <c r="F110" s="23" t="s">
        <v>141</v>
      </c>
      <c r="G110" s="18" t="s">
        <v>315</v>
      </c>
      <c r="H110" s="16">
        <v>39174000</v>
      </c>
      <c r="I110" s="17">
        <v>0.18</v>
      </c>
      <c r="J110" s="18" t="s">
        <v>2648</v>
      </c>
    </row>
    <row r="111" spans="1:10" ht="13" x14ac:dyDescent="0.3">
      <c r="A111" s="34">
        <v>40622860</v>
      </c>
      <c r="B111" s="24" t="s">
        <v>2811</v>
      </c>
      <c r="C111" s="26" t="s">
        <v>74</v>
      </c>
      <c r="D111" s="18">
        <v>20</v>
      </c>
      <c r="E111" s="15">
        <v>122</v>
      </c>
      <c r="F111" s="23" t="s">
        <v>141</v>
      </c>
      <c r="G111" s="18" t="s">
        <v>315</v>
      </c>
      <c r="H111" s="16">
        <v>39174000</v>
      </c>
      <c r="I111" s="17">
        <v>0.18</v>
      </c>
      <c r="J111" s="18" t="s">
        <v>2648</v>
      </c>
    </row>
    <row r="112" spans="1:10" ht="13" x14ac:dyDescent="0.3">
      <c r="A112" s="34" t="s">
        <v>2666</v>
      </c>
      <c r="B112" s="24" t="s">
        <v>2812</v>
      </c>
      <c r="C112" s="25" t="s">
        <v>78</v>
      </c>
      <c r="D112" s="18">
        <v>34</v>
      </c>
      <c r="E112" s="15">
        <v>197</v>
      </c>
      <c r="F112" s="23" t="s">
        <v>141</v>
      </c>
      <c r="G112" s="18" t="s">
        <v>315</v>
      </c>
      <c r="H112" s="16">
        <v>39174000</v>
      </c>
      <c r="I112" s="17">
        <v>0.18</v>
      </c>
      <c r="J112" s="18" t="s">
        <v>2648</v>
      </c>
    </row>
    <row r="113" spans="1:10" ht="13" x14ac:dyDescent="0.3">
      <c r="A113" s="34">
        <v>40655860</v>
      </c>
      <c r="B113" s="24" t="s">
        <v>2811</v>
      </c>
      <c r="C113" s="25" t="s">
        <v>85</v>
      </c>
      <c r="D113" s="18">
        <v>10</v>
      </c>
      <c r="E113" s="15">
        <v>608</v>
      </c>
      <c r="F113" s="23" t="s">
        <v>141</v>
      </c>
      <c r="G113" s="18" t="s">
        <v>315</v>
      </c>
      <c r="H113" s="16">
        <v>39174000</v>
      </c>
      <c r="I113" s="17">
        <v>0.18</v>
      </c>
      <c r="J113" s="18" t="s">
        <v>2648</v>
      </c>
    </row>
    <row r="114" spans="1:10" ht="13" x14ac:dyDescent="0.3">
      <c r="A114" s="34">
        <v>40666860</v>
      </c>
      <c r="B114" s="24" t="s">
        <v>2811</v>
      </c>
      <c r="C114" s="25" t="s">
        <v>87</v>
      </c>
      <c r="D114" s="53">
        <v>5</v>
      </c>
      <c r="E114" s="15">
        <v>947</v>
      </c>
      <c r="F114" s="23" t="s">
        <v>141</v>
      </c>
      <c r="G114" s="18" t="s">
        <v>315</v>
      </c>
      <c r="H114" s="16">
        <v>39174000</v>
      </c>
      <c r="I114" s="17">
        <v>0.18</v>
      </c>
      <c r="J114" s="18" t="s">
        <v>2648</v>
      </c>
    </row>
    <row r="115" spans="1:10" ht="13" x14ac:dyDescent="0.3">
      <c r="A115" s="34" t="s">
        <v>2480</v>
      </c>
      <c r="B115" s="24" t="s">
        <v>2813</v>
      </c>
      <c r="C115" s="25" t="s">
        <v>2484</v>
      </c>
      <c r="D115" s="18">
        <v>32</v>
      </c>
      <c r="E115" s="15">
        <v>261</v>
      </c>
      <c r="F115" s="23" t="s">
        <v>2814</v>
      </c>
      <c r="G115" s="18" t="s">
        <v>315</v>
      </c>
      <c r="H115" s="16">
        <v>39174000</v>
      </c>
      <c r="I115" s="17">
        <v>0.18</v>
      </c>
      <c r="J115" s="18" t="s">
        <v>2647</v>
      </c>
    </row>
    <row r="116" spans="1:10" ht="13" x14ac:dyDescent="0.3">
      <c r="A116" s="34" t="s">
        <v>2481</v>
      </c>
      <c r="B116" s="24" t="s">
        <v>2813</v>
      </c>
      <c r="C116" s="25" t="s">
        <v>2485</v>
      </c>
      <c r="D116" s="18">
        <v>10</v>
      </c>
      <c r="E116" s="15">
        <v>436</v>
      </c>
      <c r="F116" s="23" t="s">
        <v>2815</v>
      </c>
      <c r="G116" s="18" t="s">
        <v>315</v>
      </c>
      <c r="H116" s="16">
        <v>39174000</v>
      </c>
      <c r="I116" s="17">
        <v>0.18</v>
      </c>
      <c r="J116" s="18" t="s">
        <v>2648</v>
      </c>
    </row>
    <row r="117" spans="1:10" ht="13" x14ac:dyDescent="0.3">
      <c r="A117" s="34" t="s">
        <v>2482</v>
      </c>
      <c r="B117" s="24" t="s">
        <v>2813</v>
      </c>
      <c r="C117" s="25" t="s">
        <v>80</v>
      </c>
      <c r="D117" s="18">
        <v>10</v>
      </c>
      <c r="E117" s="15">
        <v>550</v>
      </c>
      <c r="F117" s="23" t="s">
        <v>2815</v>
      </c>
      <c r="G117" s="18" t="s">
        <v>315</v>
      </c>
      <c r="H117" s="16">
        <v>39174000</v>
      </c>
      <c r="I117" s="17">
        <v>0.18</v>
      </c>
      <c r="J117" s="18" t="s">
        <v>2647</v>
      </c>
    </row>
    <row r="118" spans="1:10" ht="13" x14ac:dyDescent="0.3">
      <c r="A118" s="34" t="s">
        <v>2483</v>
      </c>
      <c r="B118" s="24" t="s">
        <v>2813</v>
      </c>
      <c r="C118" s="25" t="s">
        <v>82</v>
      </c>
      <c r="D118" s="18">
        <v>10</v>
      </c>
      <c r="E118" s="15">
        <v>510</v>
      </c>
      <c r="F118" s="23" t="s">
        <v>2814</v>
      </c>
      <c r="G118" s="18" t="s">
        <v>315</v>
      </c>
      <c r="H118" s="16">
        <v>39174000</v>
      </c>
      <c r="I118" s="17">
        <v>0.18</v>
      </c>
      <c r="J118" s="18" t="s">
        <v>2647</v>
      </c>
    </row>
    <row r="119" spans="1:10" ht="13" x14ac:dyDescent="0.3">
      <c r="A119" s="34">
        <v>40754860</v>
      </c>
      <c r="B119" s="24" t="s">
        <v>2813</v>
      </c>
      <c r="C119" s="25" t="s">
        <v>158</v>
      </c>
      <c r="D119" s="18">
        <v>7</v>
      </c>
      <c r="E119" s="15">
        <v>1080</v>
      </c>
      <c r="F119" s="23" t="s">
        <v>2816</v>
      </c>
      <c r="G119" s="18" t="s">
        <v>315</v>
      </c>
      <c r="H119" s="16">
        <v>39174000</v>
      </c>
      <c r="I119" s="17">
        <v>0.18</v>
      </c>
      <c r="J119" s="18" t="s">
        <v>2648</v>
      </c>
    </row>
    <row r="120" spans="1:10" ht="13" x14ac:dyDescent="0.3">
      <c r="A120" s="34" t="s">
        <v>2677</v>
      </c>
      <c r="B120" s="24" t="s">
        <v>2813</v>
      </c>
      <c r="C120" s="25" t="s">
        <v>2486</v>
      </c>
      <c r="D120" s="18">
        <v>4</v>
      </c>
      <c r="E120" s="15">
        <v>2086</v>
      </c>
      <c r="F120" s="23" t="s">
        <v>2816</v>
      </c>
      <c r="G120" s="18" t="s">
        <v>315</v>
      </c>
      <c r="H120" s="16">
        <v>39174000</v>
      </c>
      <c r="I120" s="17">
        <v>0.18</v>
      </c>
      <c r="J120" s="18" t="s">
        <v>2648</v>
      </c>
    </row>
    <row r="121" spans="1:10" ht="13" x14ac:dyDescent="0.3">
      <c r="A121" s="34">
        <v>41044860</v>
      </c>
      <c r="B121" s="24" t="s">
        <v>2817</v>
      </c>
      <c r="C121" s="25" t="s">
        <v>98</v>
      </c>
      <c r="D121" s="18">
        <v>8</v>
      </c>
      <c r="E121" s="15">
        <v>2024</v>
      </c>
      <c r="F121" s="23" t="s">
        <v>142</v>
      </c>
      <c r="G121" s="18" t="s">
        <v>315</v>
      </c>
      <c r="H121" s="16">
        <v>39174000</v>
      </c>
      <c r="I121" s="17">
        <v>0.18</v>
      </c>
      <c r="J121" s="18" t="s">
        <v>2648</v>
      </c>
    </row>
    <row r="122" spans="1:10" ht="13" x14ac:dyDescent="0.3">
      <c r="A122" s="34" t="s">
        <v>2917</v>
      </c>
      <c r="B122" s="24" t="s">
        <v>2818</v>
      </c>
      <c r="C122" s="25" t="s">
        <v>162</v>
      </c>
      <c r="D122" s="18">
        <v>4</v>
      </c>
      <c r="E122" s="15">
        <v>2335</v>
      </c>
      <c r="F122" s="23" t="s">
        <v>2494</v>
      </c>
      <c r="G122" s="18" t="s">
        <v>315</v>
      </c>
      <c r="H122" s="16">
        <v>39174000</v>
      </c>
      <c r="I122" s="17">
        <v>0.18</v>
      </c>
      <c r="J122" s="18" t="s">
        <v>2648</v>
      </c>
    </row>
    <row r="123" spans="1:10" ht="13" x14ac:dyDescent="0.3">
      <c r="A123" s="34">
        <v>41064850</v>
      </c>
      <c r="B123" s="24" t="s">
        <v>2818</v>
      </c>
      <c r="C123" s="25" t="s">
        <v>164</v>
      </c>
      <c r="D123" s="18">
        <v>4</v>
      </c>
      <c r="E123" s="15">
        <v>2754</v>
      </c>
      <c r="F123" s="23" t="s">
        <v>2494</v>
      </c>
      <c r="G123" s="18" t="s">
        <v>315</v>
      </c>
      <c r="H123" s="16">
        <v>39174000</v>
      </c>
      <c r="I123" s="17">
        <v>0.18</v>
      </c>
      <c r="J123" s="18" t="s">
        <v>2648</v>
      </c>
    </row>
    <row r="124" spans="1:10" ht="13" x14ac:dyDescent="0.3">
      <c r="A124" s="34" t="s">
        <v>2487</v>
      </c>
      <c r="B124" s="24" t="s">
        <v>2819</v>
      </c>
      <c r="C124" s="25" t="s">
        <v>78</v>
      </c>
      <c r="D124" s="18">
        <v>30</v>
      </c>
      <c r="E124" s="15">
        <v>460</v>
      </c>
      <c r="F124" s="23" t="s">
        <v>2820</v>
      </c>
      <c r="G124" s="18" t="s">
        <v>315</v>
      </c>
      <c r="H124" s="16">
        <v>39174000</v>
      </c>
      <c r="I124" s="17">
        <v>0.18</v>
      </c>
      <c r="J124" s="18" t="s">
        <v>2647</v>
      </c>
    </row>
    <row r="125" spans="1:10" ht="13" x14ac:dyDescent="0.3">
      <c r="A125" s="34" t="s">
        <v>2488</v>
      </c>
      <c r="B125" s="24" t="s">
        <v>2821</v>
      </c>
      <c r="C125" s="25" t="s">
        <v>79</v>
      </c>
      <c r="D125" s="53">
        <v>10</v>
      </c>
      <c r="E125" s="15">
        <v>616</v>
      </c>
      <c r="F125" s="23" t="s">
        <v>2820</v>
      </c>
      <c r="G125" s="18" t="s">
        <v>315</v>
      </c>
      <c r="H125" s="16">
        <v>39174000</v>
      </c>
      <c r="I125" s="17">
        <v>0.18</v>
      </c>
      <c r="J125" s="18" t="s">
        <v>2648</v>
      </c>
    </row>
    <row r="126" spans="1:10" ht="13" x14ac:dyDescent="0.3">
      <c r="A126" s="34" t="s">
        <v>2489</v>
      </c>
      <c r="B126" s="24" t="s">
        <v>2821</v>
      </c>
      <c r="C126" s="25" t="s">
        <v>2491</v>
      </c>
      <c r="D126" s="18">
        <v>10</v>
      </c>
      <c r="E126" s="15">
        <v>732</v>
      </c>
      <c r="F126" s="23" t="s">
        <v>2820</v>
      </c>
      <c r="G126" s="18" t="s">
        <v>315</v>
      </c>
      <c r="H126" s="16">
        <v>39174000</v>
      </c>
      <c r="I126" s="17">
        <v>0.18</v>
      </c>
      <c r="J126" s="18" t="s">
        <v>2647</v>
      </c>
    </row>
    <row r="127" spans="1:10" ht="13" x14ac:dyDescent="0.3">
      <c r="A127" s="34" t="s">
        <v>2490</v>
      </c>
      <c r="B127" s="24" t="s">
        <v>2821</v>
      </c>
      <c r="C127" s="25" t="s">
        <v>159</v>
      </c>
      <c r="D127" s="18">
        <v>10</v>
      </c>
      <c r="E127" s="15">
        <v>754</v>
      </c>
      <c r="F127" s="23" t="s">
        <v>2822</v>
      </c>
      <c r="G127" s="18" t="s">
        <v>315</v>
      </c>
      <c r="H127" s="16">
        <v>39174000</v>
      </c>
      <c r="I127" s="17">
        <v>0.18</v>
      </c>
      <c r="J127" s="18" t="s">
        <v>2647</v>
      </c>
    </row>
    <row r="128" spans="1:10" ht="13" x14ac:dyDescent="0.3">
      <c r="A128" s="34" t="s">
        <v>2823</v>
      </c>
      <c r="B128" s="24" t="s">
        <v>2821</v>
      </c>
      <c r="C128" s="25" t="s">
        <v>158</v>
      </c>
      <c r="D128" s="18">
        <v>6</v>
      </c>
      <c r="E128" s="15">
        <v>2016</v>
      </c>
      <c r="F128" s="23" t="s">
        <v>2822</v>
      </c>
      <c r="G128" s="18" t="s">
        <v>2887</v>
      </c>
      <c r="H128" s="16">
        <v>39174000</v>
      </c>
      <c r="I128" s="17">
        <v>0.18</v>
      </c>
      <c r="J128" s="18" t="s">
        <v>2648</v>
      </c>
    </row>
    <row r="129" spans="1:10" ht="13" x14ac:dyDescent="0.3">
      <c r="A129" s="34" t="s">
        <v>2447</v>
      </c>
      <c r="B129" s="24" t="s">
        <v>2821</v>
      </c>
      <c r="C129" s="25" t="s">
        <v>2486</v>
      </c>
      <c r="D129" s="53">
        <v>4</v>
      </c>
      <c r="E129" s="15">
        <v>2766</v>
      </c>
      <c r="F129" s="23" t="s">
        <v>2820</v>
      </c>
      <c r="G129" s="18" t="s">
        <v>2887</v>
      </c>
      <c r="H129" s="16">
        <v>39174000</v>
      </c>
      <c r="I129" s="17">
        <v>0.18</v>
      </c>
      <c r="J129" s="18" t="s">
        <v>2648</v>
      </c>
    </row>
    <row r="130" spans="1:10" ht="13" x14ac:dyDescent="0.3">
      <c r="A130" s="34" t="s">
        <v>2824</v>
      </c>
      <c r="B130" s="24" t="s">
        <v>2825</v>
      </c>
      <c r="C130" s="25" t="s">
        <v>98</v>
      </c>
      <c r="D130" s="18">
        <v>6</v>
      </c>
      <c r="E130" s="15">
        <v>2232</v>
      </c>
      <c r="F130" s="23" t="s">
        <v>2826</v>
      </c>
      <c r="G130" s="18" t="s">
        <v>2887</v>
      </c>
      <c r="H130" s="16">
        <v>39174000</v>
      </c>
      <c r="I130" s="17">
        <v>0.18</v>
      </c>
      <c r="J130" s="18" t="s">
        <v>2648</v>
      </c>
    </row>
    <row r="131" spans="1:10" ht="13" x14ac:dyDescent="0.3">
      <c r="A131" s="34">
        <v>40621860</v>
      </c>
      <c r="B131" s="24" t="s">
        <v>2811</v>
      </c>
      <c r="C131" s="25" t="s">
        <v>73</v>
      </c>
      <c r="D131" s="18">
        <v>50</v>
      </c>
      <c r="E131" s="15">
        <v>166</v>
      </c>
      <c r="F131" s="23" t="s">
        <v>143</v>
      </c>
      <c r="G131" s="18" t="s">
        <v>315</v>
      </c>
      <c r="H131" s="16">
        <v>39174000</v>
      </c>
      <c r="I131" s="17">
        <v>0.18</v>
      </c>
      <c r="J131" s="18" t="s">
        <v>2648</v>
      </c>
    </row>
    <row r="132" spans="1:10" ht="13" x14ac:dyDescent="0.3">
      <c r="A132" s="34">
        <v>40632860</v>
      </c>
      <c r="B132" s="24" t="s">
        <v>2811</v>
      </c>
      <c r="C132" s="25" t="s">
        <v>76</v>
      </c>
      <c r="D132" s="18">
        <v>35</v>
      </c>
      <c r="E132" s="15">
        <v>185</v>
      </c>
      <c r="F132" s="23" t="s">
        <v>143</v>
      </c>
      <c r="G132" s="18" t="s">
        <v>315</v>
      </c>
      <c r="H132" s="16">
        <v>39174000</v>
      </c>
      <c r="I132" s="17">
        <v>0.18</v>
      </c>
      <c r="J132" s="18" t="s">
        <v>2648</v>
      </c>
    </row>
    <row r="133" spans="1:10" ht="13" x14ac:dyDescent="0.3">
      <c r="A133" s="34">
        <v>40642860</v>
      </c>
      <c r="B133" s="24" t="s">
        <v>2827</v>
      </c>
      <c r="C133" s="25" t="s">
        <v>79</v>
      </c>
      <c r="D133" s="18">
        <v>20</v>
      </c>
      <c r="E133" s="15">
        <v>393</v>
      </c>
      <c r="F133" s="23" t="s">
        <v>144</v>
      </c>
      <c r="G133" s="18" t="s">
        <v>315</v>
      </c>
      <c r="H133" s="16">
        <v>39174000</v>
      </c>
      <c r="I133" s="17">
        <v>0.18</v>
      </c>
      <c r="J133" s="18" t="s">
        <v>2648</v>
      </c>
    </row>
    <row r="134" spans="1:10" ht="13" x14ac:dyDescent="0.3">
      <c r="A134" s="34">
        <v>40652860</v>
      </c>
      <c r="B134" s="24" t="s">
        <v>2811</v>
      </c>
      <c r="C134" s="25" t="s">
        <v>160</v>
      </c>
      <c r="D134" s="18">
        <v>11</v>
      </c>
      <c r="E134" s="15">
        <v>615</v>
      </c>
      <c r="F134" s="23" t="s">
        <v>143</v>
      </c>
      <c r="G134" s="18" t="s">
        <v>315</v>
      </c>
      <c r="H134" s="16">
        <v>39174000</v>
      </c>
      <c r="I134" s="17">
        <v>0.18</v>
      </c>
      <c r="J134" s="18" t="s">
        <v>2648</v>
      </c>
    </row>
    <row r="135" spans="1:10" ht="13" x14ac:dyDescent="0.3">
      <c r="A135" s="34">
        <v>40662860</v>
      </c>
      <c r="B135" s="24" t="s">
        <v>2811</v>
      </c>
      <c r="C135" s="25" t="s">
        <v>161</v>
      </c>
      <c r="D135" s="18">
        <v>6</v>
      </c>
      <c r="E135" s="15">
        <v>1094</v>
      </c>
      <c r="F135" s="23" t="s">
        <v>143</v>
      </c>
      <c r="G135" s="18" t="s">
        <v>315</v>
      </c>
      <c r="H135" s="16">
        <v>39174000</v>
      </c>
      <c r="I135" s="17">
        <v>0.18</v>
      </c>
      <c r="J135" s="18" t="s">
        <v>2648</v>
      </c>
    </row>
    <row r="136" spans="1:10" ht="13" x14ac:dyDescent="0.3">
      <c r="A136" s="34">
        <v>40664860</v>
      </c>
      <c r="B136" s="24" t="s">
        <v>2811</v>
      </c>
      <c r="C136" s="25" t="s">
        <v>86</v>
      </c>
      <c r="D136" s="18">
        <v>6</v>
      </c>
      <c r="E136" s="15">
        <v>878</v>
      </c>
      <c r="F136" s="23" t="s">
        <v>143</v>
      </c>
      <c r="G136" s="18" t="s">
        <v>315</v>
      </c>
      <c r="H136" s="16">
        <v>39174000</v>
      </c>
      <c r="I136" s="17">
        <v>0.18</v>
      </c>
      <c r="J136" s="18" t="s">
        <v>2648</v>
      </c>
    </row>
    <row r="137" spans="1:10" ht="13" x14ac:dyDescent="0.3">
      <c r="A137" s="34">
        <v>41042450</v>
      </c>
      <c r="B137" s="24" t="s">
        <v>2828</v>
      </c>
      <c r="C137" s="25" t="s">
        <v>101</v>
      </c>
      <c r="D137" s="53">
        <v>10</v>
      </c>
      <c r="E137" s="15">
        <v>1560</v>
      </c>
      <c r="F137" s="23" t="s">
        <v>145</v>
      </c>
      <c r="G137" s="18" t="s">
        <v>315</v>
      </c>
      <c r="H137" s="16">
        <v>39174000</v>
      </c>
      <c r="I137" s="17">
        <v>0.18</v>
      </c>
      <c r="J137" s="18" t="s">
        <v>2648</v>
      </c>
    </row>
    <row r="138" spans="1:10" ht="13" x14ac:dyDescent="0.3">
      <c r="A138" s="34">
        <v>41044450</v>
      </c>
      <c r="B138" s="24" t="s">
        <v>2828</v>
      </c>
      <c r="C138" s="25" t="s">
        <v>98</v>
      </c>
      <c r="D138" s="18">
        <v>10</v>
      </c>
      <c r="E138" s="15">
        <v>1463</v>
      </c>
      <c r="F138" s="23" t="s">
        <v>2829</v>
      </c>
      <c r="G138" s="18" t="s">
        <v>315</v>
      </c>
      <c r="H138" s="16">
        <v>39174000</v>
      </c>
      <c r="I138" s="17">
        <v>0.18</v>
      </c>
      <c r="J138" s="18" t="s">
        <v>2648</v>
      </c>
    </row>
    <row r="139" spans="1:10" ht="15.75" customHeight="1" x14ac:dyDescent="0.3">
      <c r="A139" s="34">
        <v>41062450</v>
      </c>
      <c r="B139" s="24" t="s">
        <v>2828</v>
      </c>
      <c r="C139" s="25" t="s">
        <v>163</v>
      </c>
      <c r="D139" s="18">
        <v>1</v>
      </c>
      <c r="E139" s="15">
        <v>1226</v>
      </c>
      <c r="F139" s="23" t="s">
        <v>146</v>
      </c>
      <c r="G139" s="18" t="s">
        <v>315</v>
      </c>
      <c r="H139" s="16">
        <v>39174000</v>
      </c>
      <c r="I139" s="17">
        <v>0.18</v>
      </c>
      <c r="J139" s="18" t="s">
        <v>2648</v>
      </c>
    </row>
    <row r="140" spans="1:10" ht="15.75" customHeight="1" x14ac:dyDescent="0.3">
      <c r="A140" s="34">
        <v>41044457</v>
      </c>
      <c r="B140" s="24" t="s">
        <v>2830</v>
      </c>
      <c r="C140" s="25" t="s">
        <v>98</v>
      </c>
      <c r="D140" s="18">
        <v>6</v>
      </c>
      <c r="E140" s="15">
        <v>3106</v>
      </c>
      <c r="F140" s="23" t="s">
        <v>147</v>
      </c>
      <c r="G140" s="18" t="s">
        <v>315</v>
      </c>
      <c r="H140" s="16">
        <v>39174000</v>
      </c>
      <c r="I140" s="17">
        <v>0.18</v>
      </c>
      <c r="J140" s="18" t="s">
        <v>2648</v>
      </c>
    </row>
    <row r="141" spans="1:10" ht="13" x14ac:dyDescent="0.3">
      <c r="A141" s="34">
        <v>41244850</v>
      </c>
      <c r="B141" s="24" t="s">
        <v>2831</v>
      </c>
      <c r="C141" s="13" t="s">
        <v>98</v>
      </c>
      <c r="D141" s="18">
        <v>6</v>
      </c>
      <c r="E141" s="15">
        <v>1347</v>
      </c>
      <c r="F141" s="23" t="s">
        <v>148</v>
      </c>
      <c r="G141" s="18" t="s">
        <v>315</v>
      </c>
      <c r="H141" s="16">
        <v>39174000</v>
      </c>
      <c r="I141" s="17">
        <v>0.18</v>
      </c>
      <c r="J141" s="18" t="s">
        <v>2648</v>
      </c>
    </row>
    <row r="142" spans="1:10" ht="13" x14ac:dyDescent="0.3">
      <c r="A142" s="34">
        <v>4041254850</v>
      </c>
      <c r="B142" s="24" t="s">
        <v>2831</v>
      </c>
      <c r="C142" s="25" t="s">
        <v>162</v>
      </c>
      <c r="D142" s="18">
        <v>6</v>
      </c>
      <c r="E142" s="15">
        <v>1968</v>
      </c>
      <c r="F142" s="23" t="s">
        <v>148</v>
      </c>
      <c r="G142" s="18" t="s">
        <v>315</v>
      </c>
      <c r="H142" s="16">
        <v>39174000</v>
      </c>
      <c r="I142" s="17">
        <v>0.18</v>
      </c>
      <c r="J142" s="18" t="s">
        <v>2648</v>
      </c>
    </row>
    <row r="143" spans="1:10" ht="13" x14ac:dyDescent="0.3">
      <c r="A143" s="34" t="s">
        <v>2678</v>
      </c>
      <c r="B143" s="24" t="s">
        <v>2831</v>
      </c>
      <c r="C143" s="25" t="s">
        <v>164</v>
      </c>
      <c r="D143" s="18">
        <v>4</v>
      </c>
      <c r="E143" s="15">
        <v>2382</v>
      </c>
      <c r="F143" s="23" t="s">
        <v>149</v>
      </c>
      <c r="G143" s="18" t="s">
        <v>315</v>
      </c>
      <c r="H143" s="16">
        <v>39174000</v>
      </c>
      <c r="I143" s="17">
        <v>0.18</v>
      </c>
      <c r="J143" s="18" t="s">
        <v>2648</v>
      </c>
    </row>
    <row r="144" spans="1:10" ht="13" x14ac:dyDescent="0.3">
      <c r="A144" s="34" t="s">
        <v>2679</v>
      </c>
      <c r="B144" s="24" t="s">
        <v>2832</v>
      </c>
      <c r="C144" s="25">
        <v>75</v>
      </c>
      <c r="D144" s="18">
        <v>20</v>
      </c>
      <c r="E144" s="15">
        <v>460</v>
      </c>
      <c r="F144" s="23" t="s">
        <v>150</v>
      </c>
      <c r="G144" s="18" t="s">
        <v>315</v>
      </c>
      <c r="H144" s="16">
        <v>39174000</v>
      </c>
      <c r="I144" s="17">
        <v>0.18</v>
      </c>
      <c r="J144" s="18" t="s">
        <v>2648</v>
      </c>
    </row>
    <row r="145" spans="1:10" ht="13" x14ac:dyDescent="0.3">
      <c r="A145" s="34" t="s">
        <v>2667</v>
      </c>
      <c r="B145" s="24" t="s">
        <v>2832</v>
      </c>
      <c r="C145" s="25">
        <v>110</v>
      </c>
      <c r="D145" s="18">
        <v>15</v>
      </c>
      <c r="E145" s="15">
        <v>567</v>
      </c>
      <c r="F145" s="23" t="s">
        <v>150</v>
      </c>
      <c r="G145" s="18" t="s">
        <v>315</v>
      </c>
      <c r="H145" s="16">
        <v>39174000</v>
      </c>
      <c r="I145" s="17">
        <v>0.18</v>
      </c>
      <c r="J145" s="18" t="s">
        <v>2648</v>
      </c>
    </row>
    <row r="146" spans="1:10" ht="13" x14ac:dyDescent="0.3">
      <c r="A146" s="34">
        <v>49150060</v>
      </c>
      <c r="B146" s="33" t="s">
        <v>2832</v>
      </c>
      <c r="C146" s="34">
        <v>125</v>
      </c>
      <c r="D146" s="19">
        <v>10</v>
      </c>
      <c r="E146" s="15">
        <v>1061</v>
      </c>
      <c r="F146" s="57" t="s">
        <v>150</v>
      </c>
      <c r="G146" s="18" t="s">
        <v>315</v>
      </c>
      <c r="H146" s="35">
        <v>39174000</v>
      </c>
      <c r="I146" s="17">
        <v>0.18</v>
      </c>
      <c r="J146" s="18" t="s">
        <v>2647</v>
      </c>
    </row>
    <row r="147" spans="1:10" ht="13" x14ac:dyDescent="0.3">
      <c r="A147" s="34">
        <v>49160060</v>
      </c>
      <c r="B147" s="24" t="s">
        <v>2832</v>
      </c>
      <c r="C147" s="25">
        <v>160</v>
      </c>
      <c r="D147" s="18">
        <v>10</v>
      </c>
      <c r="E147" s="15">
        <v>1199</v>
      </c>
      <c r="F147" s="23" t="s">
        <v>150</v>
      </c>
      <c r="G147" s="18" t="s">
        <v>315</v>
      </c>
      <c r="H147" s="16">
        <v>39174000</v>
      </c>
      <c r="I147" s="17">
        <v>0.18</v>
      </c>
      <c r="J147" s="18" t="s">
        <v>2648</v>
      </c>
    </row>
    <row r="148" spans="1:10" ht="13" x14ac:dyDescent="0.3">
      <c r="A148" s="34" t="s">
        <v>2833</v>
      </c>
      <c r="B148" s="24" t="s">
        <v>2834</v>
      </c>
      <c r="C148" s="25">
        <v>40</v>
      </c>
      <c r="D148" s="18">
        <v>20</v>
      </c>
      <c r="E148" s="15">
        <v>74</v>
      </c>
      <c r="F148" s="23" t="s">
        <v>151</v>
      </c>
      <c r="G148" s="18" t="s">
        <v>315</v>
      </c>
      <c r="H148" s="16">
        <v>39174000</v>
      </c>
      <c r="I148" s="17">
        <v>0.18</v>
      </c>
      <c r="J148" s="18" t="s">
        <v>2648</v>
      </c>
    </row>
    <row r="149" spans="1:10" ht="13" x14ac:dyDescent="0.3">
      <c r="A149" s="34" t="s">
        <v>2835</v>
      </c>
      <c r="B149" s="24" t="s">
        <v>2836</v>
      </c>
      <c r="C149" s="22">
        <v>50</v>
      </c>
      <c r="D149" s="18">
        <v>20</v>
      </c>
      <c r="E149" s="15">
        <v>86</v>
      </c>
      <c r="F149" s="27" t="s">
        <v>151</v>
      </c>
      <c r="G149" s="18" t="s">
        <v>315</v>
      </c>
      <c r="H149" s="16">
        <v>39174000</v>
      </c>
      <c r="I149" s="17">
        <v>0.18</v>
      </c>
      <c r="J149" s="18" t="s">
        <v>2648</v>
      </c>
    </row>
    <row r="150" spans="1:10" ht="13" x14ac:dyDescent="0.3">
      <c r="A150" s="34" t="s">
        <v>2668</v>
      </c>
      <c r="B150" s="24" t="s">
        <v>2834</v>
      </c>
      <c r="C150" s="22">
        <v>75</v>
      </c>
      <c r="D150" s="18">
        <v>44</v>
      </c>
      <c r="E150" s="15">
        <v>116</v>
      </c>
      <c r="F150" s="27" t="s">
        <v>151</v>
      </c>
      <c r="G150" s="18" t="s">
        <v>315</v>
      </c>
      <c r="H150" s="16">
        <v>39174000</v>
      </c>
      <c r="I150" s="17">
        <v>0.18</v>
      </c>
      <c r="J150" s="18" t="s">
        <v>2648</v>
      </c>
    </row>
    <row r="151" spans="1:10" ht="13" x14ac:dyDescent="0.3">
      <c r="A151" s="34" t="s">
        <v>2837</v>
      </c>
      <c r="B151" s="24" t="s">
        <v>2834</v>
      </c>
      <c r="C151" s="22">
        <v>110</v>
      </c>
      <c r="D151" s="18">
        <v>32</v>
      </c>
      <c r="E151" s="15">
        <v>210</v>
      </c>
      <c r="F151" s="27" t="s">
        <v>151</v>
      </c>
      <c r="G151" s="18" t="s">
        <v>315</v>
      </c>
      <c r="H151" s="16">
        <v>39174000</v>
      </c>
      <c r="I151" s="17">
        <v>0.18</v>
      </c>
      <c r="J151" s="18" t="s">
        <v>2648</v>
      </c>
    </row>
    <row r="152" spans="1:10" ht="13" x14ac:dyDescent="0.3">
      <c r="A152" s="34">
        <v>41750065</v>
      </c>
      <c r="B152" s="24" t="s">
        <v>2836</v>
      </c>
      <c r="C152" s="22">
        <v>125</v>
      </c>
      <c r="D152" s="18">
        <v>20</v>
      </c>
      <c r="E152" s="15">
        <v>495</v>
      </c>
      <c r="F152" s="27" t="s">
        <v>151</v>
      </c>
      <c r="G152" s="18" t="s">
        <v>315</v>
      </c>
      <c r="H152" s="16">
        <v>39174000</v>
      </c>
      <c r="I152" s="17">
        <v>0.18</v>
      </c>
      <c r="J152" s="18" t="s">
        <v>2648</v>
      </c>
    </row>
    <row r="153" spans="1:10" ht="13" x14ac:dyDescent="0.3">
      <c r="A153" s="34">
        <v>41760055</v>
      </c>
      <c r="B153" s="27" t="s">
        <v>2836</v>
      </c>
      <c r="C153" s="22">
        <v>160</v>
      </c>
      <c r="D153" s="18">
        <v>12</v>
      </c>
      <c r="E153" s="15">
        <v>1054</v>
      </c>
      <c r="F153" s="27" t="s">
        <v>151</v>
      </c>
      <c r="G153" s="18" t="s">
        <v>315</v>
      </c>
      <c r="H153" s="16">
        <v>39174000</v>
      </c>
      <c r="I153" s="17">
        <v>0.18</v>
      </c>
      <c r="J153" s="18" t="s">
        <v>2648</v>
      </c>
    </row>
    <row r="154" spans="1:10" ht="13" x14ac:dyDescent="0.3">
      <c r="A154" s="34">
        <v>41720053</v>
      </c>
      <c r="B154" s="27" t="s">
        <v>2838</v>
      </c>
      <c r="C154" s="22">
        <v>50</v>
      </c>
      <c r="D154" s="18">
        <v>20</v>
      </c>
      <c r="E154" s="15">
        <v>116</v>
      </c>
      <c r="F154" s="27" t="s">
        <v>152</v>
      </c>
      <c r="G154" s="18" t="s">
        <v>315</v>
      </c>
      <c r="H154" s="16">
        <v>39174000</v>
      </c>
      <c r="I154" s="17">
        <v>0.18</v>
      </c>
      <c r="J154" s="18" t="s">
        <v>2648</v>
      </c>
    </row>
    <row r="155" spans="1:10" ht="13" x14ac:dyDescent="0.3">
      <c r="A155" s="34">
        <v>41730053</v>
      </c>
      <c r="B155" s="27" t="s">
        <v>2838</v>
      </c>
      <c r="C155" s="22">
        <v>75</v>
      </c>
      <c r="D155" s="18">
        <v>44</v>
      </c>
      <c r="E155" s="15">
        <v>129</v>
      </c>
      <c r="F155" s="27" t="s">
        <v>152</v>
      </c>
      <c r="G155" s="18" t="s">
        <v>315</v>
      </c>
      <c r="H155" s="16">
        <v>39174000</v>
      </c>
      <c r="I155" s="17">
        <v>0.18</v>
      </c>
      <c r="J155" s="18" t="s">
        <v>2648</v>
      </c>
    </row>
    <row r="156" spans="1:10" ht="13" x14ac:dyDescent="0.3">
      <c r="A156" s="34">
        <v>41740053</v>
      </c>
      <c r="B156" s="27" t="s">
        <v>2838</v>
      </c>
      <c r="C156" s="22">
        <v>110</v>
      </c>
      <c r="D156" s="18">
        <v>32</v>
      </c>
      <c r="E156" s="15">
        <v>215</v>
      </c>
      <c r="F156" s="27" t="s">
        <v>152</v>
      </c>
      <c r="G156" s="18" t="s">
        <v>315</v>
      </c>
      <c r="H156" s="16">
        <v>39174000</v>
      </c>
      <c r="I156" s="17">
        <v>0.18</v>
      </c>
      <c r="J156" s="18" t="s">
        <v>2648</v>
      </c>
    </row>
    <row r="157" spans="1:10" ht="13" x14ac:dyDescent="0.3">
      <c r="A157" s="34">
        <v>42121060</v>
      </c>
      <c r="B157" s="27" t="s">
        <v>123</v>
      </c>
      <c r="C157" s="22" t="s">
        <v>73</v>
      </c>
      <c r="D157" s="18">
        <v>20</v>
      </c>
      <c r="E157" s="15">
        <v>66</v>
      </c>
      <c r="F157" s="27" t="s">
        <v>2839</v>
      </c>
      <c r="G157" s="18" t="s">
        <v>315</v>
      </c>
      <c r="H157" s="16">
        <v>39174000</v>
      </c>
      <c r="I157" s="17">
        <v>0.18</v>
      </c>
      <c r="J157" s="18" t="s">
        <v>2648</v>
      </c>
    </row>
    <row r="158" spans="1:10" ht="13" x14ac:dyDescent="0.3">
      <c r="A158" s="34">
        <v>42132050</v>
      </c>
      <c r="B158" s="27" t="s">
        <v>123</v>
      </c>
      <c r="C158" s="22" t="s">
        <v>76</v>
      </c>
      <c r="D158" s="18">
        <v>20</v>
      </c>
      <c r="E158" s="15">
        <v>83</v>
      </c>
      <c r="F158" s="27" t="s">
        <v>2839</v>
      </c>
      <c r="G158" s="18" t="s">
        <v>315</v>
      </c>
      <c r="H158" s="16">
        <v>39174000</v>
      </c>
      <c r="I158" s="17">
        <v>0.18</v>
      </c>
      <c r="J158" s="18" t="s">
        <v>2648</v>
      </c>
    </row>
    <row r="159" spans="1:10" ht="13" x14ac:dyDescent="0.3">
      <c r="A159" s="34">
        <v>42142050</v>
      </c>
      <c r="B159" s="24" t="s">
        <v>123</v>
      </c>
      <c r="C159" s="22" t="s">
        <v>79</v>
      </c>
      <c r="D159" s="18">
        <v>60</v>
      </c>
      <c r="E159" s="15">
        <v>183</v>
      </c>
      <c r="F159" s="27" t="s">
        <v>2839</v>
      </c>
      <c r="G159" s="18" t="s">
        <v>315</v>
      </c>
      <c r="H159" s="16">
        <v>39174000</v>
      </c>
      <c r="I159" s="17">
        <v>0.18</v>
      </c>
      <c r="J159" s="18" t="s">
        <v>2648</v>
      </c>
    </row>
    <row r="160" spans="1:10" ht="13" x14ac:dyDescent="0.3">
      <c r="A160" s="34" t="s">
        <v>2669</v>
      </c>
      <c r="B160" s="24" t="s">
        <v>123</v>
      </c>
      <c r="C160" s="22" t="s">
        <v>80</v>
      </c>
      <c r="D160" s="18">
        <v>60</v>
      </c>
      <c r="E160" s="15">
        <v>215</v>
      </c>
      <c r="F160" s="27" t="s">
        <v>2839</v>
      </c>
      <c r="G160" s="18" t="s">
        <v>315</v>
      </c>
      <c r="H160" s="16">
        <v>39174000</v>
      </c>
      <c r="I160" s="17">
        <v>0.18</v>
      </c>
      <c r="J160" s="18" t="s">
        <v>2648</v>
      </c>
    </row>
    <row r="161" spans="1:10" ht="13" x14ac:dyDescent="0.3">
      <c r="A161" s="34">
        <v>42154060</v>
      </c>
      <c r="B161" s="24" t="s">
        <v>123</v>
      </c>
      <c r="C161" s="22" t="s">
        <v>84</v>
      </c>
      <c r="D161" s="18">
        <v>20</v>
      </c>
      <c r="E161" s="15">
        <v>422</v>
      </c>
      <c r="F161" s="27" t="s">
        <v>2839</v>
      </c>
      <c r="G161" s="18" t="s">
        <v>315</v>
      </c>
      <c r="H161" s="16">
        <v>39174000</v>
      </c>
      <c r="I161" s="17">
        <v>0.18</v>
      </c>
      <c r="J161" s="18" t="s">
        <v>2648</v>
      </c>
    </row>
    <row r="162" spans="1:10" ht="13" x14ac:dyDescent="0.3">
      <c r="A162" s="34">
        <v>42164050</v>
      </c>
      <c r="B162" s="27" t="s">
        <v>123</v>
      </c>
      <c r="C162" s="25" t="s">
        <v>86</v>
      </c>
      <c r="D162" s="18">
        <v>20</v>
      </c>
      <c r="E162" s="15">
        <v>653</v>
      </c>
      <c r="F162" s="27" t="s">
        <v>2839</v>
      </c>
      <c r="G162" s="18" t="s">
        <v>315</v>
      </c>
      <c r="H162" s="16">
        <v>39174000</v>
      </c>
      <c r="I162" s="17">
        <v>0.18</v>
      </c>
      <c r="J162" s="18" t="s">
        <v>2648</v>
      </c>
    </row>
    <row r="163" spans="1:10" ht="13" x14ac:dyDescent="0.3">
      <c r="A163" s="34" t="s">
        <v>2676</v>
      </c>
      <c r="B163" s="27" t="s">
        <v>2840</v>
      </c>
      <c r="C163" s="25" t="s">
        <v>80</v>
      </c>
      <c r="D163" s="18">
        <v>20</v>
      </c>
      <c r="E163" s="15">
        <v>510</v>
      </c>
      <c r="F163" s="27" t="s">
        <v>2841</v>
      </c>
      <c r="G163" s="18" t="s">
        <v>315</v>
      </c>
      <c r="H163" s="16">
        <v>39174000</v>
      </c>
      <c r="I163" s="17">
        <v>0.18</v>
      </c>
      <c r="J163" s="18" t="s">
        <v>2648</v>
      </c>
    </row>
    <row r="164" spans="1:10" ht="13" x14ac:dyDescent="0.3">
      <c r="A164" s="34" t="s">
        <v>1438</v>
      </c>
      <c r="B164" s="27" t="s">
        <v>1439</v>
      </c>
      <c r="C164" s="25" t="s">
        <v>73</v>
      </c>
      <c r="D164" s="18">
        <v>50</v>
      </c>
      <c r="E164" s="15">
        <v>192</v>
      </c>
      <c r="F164" s="27" t="s">
        <v>1440</v>
      </c>
      <c r="G164" s="18" t="s">
        <v>315</v>
      </c>
      <c r="H164" s="16">
        <v>39174000</v>
      </c>
      <c r="I164" s="17">
        <v>0.18</v>
      </c>
      <c r="J164" s="18" t="s">
        <v>2648</v>
      </c>
    </row>
    <row r="165" spans="1:10" ht="13" x14ac:dyDescent="0.3">
      <c r="A165" s="34" t="s">
        <v>1441</v>
      </c>
      <c r="B165" s="27" t="s">
        <v>1439</v>
      </c>
      <c r="C165" s="25" t="s">
        <v>76</v>
      </c>
      <c r="D165" s="18">
        <v>20</v>
      </c>
      <c r="E165" s="15">
        <v>254</v>
      </c>
      <c r="F165" s="27" t="s">
        <v>1440</v>
      </c>
      <c r="G165" s="18" t="s">
        <v>315</v>
      </c>
      <c r="H165" s="16">
        <v>39174000</v>
      </c>
      <c r="I165" s="17">
        <v>0.18</v>
      </c>
      <c r="J165" s="18" t="s">
        <v>2648</v>
      </c>
    </row>
    <row r="166" spans="1:10" ht="13" x14ac:dyDescent="0.3">
      <c r="A166" s="34" t="s">
        <v>1442</v>
      </c>
      <c r="B166" s="27" t="s">
        <v>1439</v>
      </c>
      <c r="C166" s="25" t="s">
        <v>79</v>
      </c>
      <c r="D166" s="18">
        <v>20</v>
      </c>
      <c r="E166" s="15">
        <v>328</v>
      </c>
      <c r="F166" s="27" t="s">
        <v>1440</v>
      </c>
      <c r="G166" s="18" t="s">
        <v>315</v>
      </c>
      <c r="H166" s="16">
        <v>39174000</v>
      </c>
      <c r="I166" s="17">
        <v>0.18</v>
      </c>
      <c r="J166" s="18" t="s">
        <v>2648</v>
      </c>
    </row>
    <row r="167" spans="1:10" ht="13" x14ac:dyDescent="0.3">
      <c r="A167" s="34" t="s">
        <v>1443</v>
      </c>
      <c r="B167" s="27" t="s">
        <v>1439</v>
      </c>
      <c r="C167" s="25" t="s">
        <v>80</v>
      </c>
      <c r="D167" s="18">
        <v>20</v>
      </c>
      <c r="E167" s="15">
        <v>401</v>
      </c>
      <c r="F167" s="27" t="s">
        <v>1440</v>
      </c>
      <c r="G167" s="18" t="s">
        <v>315</v>
      </c>
      <c r="H167" s="16">
        <v>39174000</v>
      </c>
      <c r="I167" s="17">
        <v>0.18</v>
      </c>
      <c r="J167" s="18" t="s">
        <v>2648</v>
      </c>
    </row>
    <row r="168" spans="1:10" ht="13" x14ac:dyDescent="0.3">
      <c r="A168" s="34">
        <v>41610040</v>
      </c>
      <c r="B168" s="27" t="s">
        <v>2842</v>
      </c>
      <c r="C168" s="25">
        <v>40</v>
      </c>
      <c r="D168" s="18">
        <v>20</v>
      </c>
      <c r="E168" s="15">
        <v>35</v>
      </c>
      <c r="F168" s="27" t="s">
        <v>153</v>
      </c>
      <c r="G168" s="18" t="s">
        <v>153</v>
      </c>
      <c r="H168" s="16">
        <v>39174000</v>
      </c>
      <c r="I168" s="17">
        <v>0.18</v>
      </c>
      <c r="J168" s="18" t="s">
        <v>2648</v>
      </c>
    </row>
    <row r="169" spans="1:10" ht="13" x14ac:dyDescent="0.3">
      <c r="A169" s="34" t="s">
        <v>2670</v>
      </c>
      <c r="B169" s="33" t="s">
        <v>2842</v>
      </c>
      <c r="C169" s="34">
        <v>50</v>
      </c>
      <c r="D169" s="19">
        <v>20</v>
      </c>
      <c r="E169" s="15">
        <v>66</v>
      </c>
      <c r="F169" s="57" t="s">
        <v>153</v>
      </c>
      <c r="G169" s="18" t="s">
        <v>153</v>
      </c>
      <c r="H169" s="35">
        <v>39174000</v>
      </c>
      <c r="I169" s="17">
        <v>0.18</v>
      </c>
      <c r="J169" s="18" t="s">
        <v>2648</v>
      </c>
    </row>
    <row r="170" spans="1:10" ht="13" x14ac:dyDescent="0.3">
      <c r="A170" s="34" t="s">
        <v>2843</v>
      </c>
      <c r="B170" s="33" t="s">
        <v>2842</v>
      </c>
      <c r="C170" s="34">
        <v>75</v>
      </c>
      <c r="D170" s="19">
        <v>20</v>
      </c>
      <c r="E170" s="15">
        <v>70</v>
      </c>
      <c r="F170" s="57" t="s">
        <v>153</v>
      </c>
      <c r="G170" s="18" t="s">
        <v>153</v>
      </c>
      <c r="H170" s="35">
        <v>39174000</v>
      </c>
      <c r="I170" s="17">
        <v>0.18</v>
      </c>
      <c r="J170" s="18" t="s">
        <v>2648</v>
      </c>
    </row>
    <row r="171" spans="1:10" ht="13" x14ac:dyDescent="0.3">
      <c r="A171" s="34" t="s">
        <v>2671</v>
      </c>
      <c r="B171" s="33" t="s">
        <v>2842</v>
      </c>
      <c r="C171" s="34">
        <v>110</v>
      </c>
      <c r="D171" s="19">
        <v>100</v>
      </c>
      <c r="E171" s="15">
        <v>116</v>
      </c>
      <c r="F171" s="57" t="s">
        <v>153</v>
      </c>
      <c r="G171" s="18" t="s">
        <v>153</v>
      </c>
      <c r="H171" s="35">
        <v>39174000</v>
      </c>
      <c r="I171" s="17">
        <v>0.18</v>
      </c>
      <c r="J171" s="18" t="s">
        <v>2648</v>
      </c>
    </row>
    <row r="172" spans="1:10" ht="13" x14ac:dyDescent="0.3">
      <c r="A172" s="34">
        <v>41650060</v>
      </c>
      <c r="B172" s="33" t="s">
        <v>2842</v>
      </c>
      <c r="C172" s="34">
        <v>125</v>
      </c>
      <c r="D172" s="19">
        <v>24</v>
      </c>
      <c r="E172" s="15">
        <v>251</v>
      </c>
      <c r="F172" s="57" t="s">
        <v>153</v>
      </c>
      <c r="G172" s="18" t="s">
        <v>153</v>
      </c>
      <c r="H172" s="35">
        <v>39174000</v>
      </c>
      <c r="I172" s="17">
        <v>0.18</v>
      </c>
      <c r="J172" s="18" t="s">
        <v>2648</v>
      </c>
    </row>
    <row r="173" spans="1:10" ht="13" x14ac:dyDescent="0.3">
      <c r="A173" s="34">
        <v>41660060</v>
      </c>
      <c r="B173" s="24" t="s">
        <v>2842</v>
      </c>
      <c r="C173" s="25">
        <v>160</v>
      </c>
      <c r="D173" s="18">
        <v>40</v>
      </c>
      <c r="E173" s="15">
        <v>345</v>
      </c>
      <c r="F173" s="27" t="s">
        <v>153</v>
      </c>
      <c r="G173" s="18" t="s">
        <v>153</v>
      </c>
      <c r="H173" s="16">
        <v>39174000</v>
      </c>
      <c r="I173" s="17">
        <v>0.18</v>
      </c>
      <c r="J173" s="18" t="s">
        <v>2648</v>
      </c>
    </row>
    <row r="174" spans="1:10" ht="13" x14ac:dyDescent="0.3">
      <c r="A174" s="34">
        <v>4042320040</v>
      </c>
      <c r="B174" s="24" t="s">
        <v>2844</v>
      </c>
      <c r="C174" s="25">
        <v>50</v>
      </c>
      <c r="D174" s="18">
        <v>240</v>
      </c>
      <c r="E174" s="15">
        <v>239</v>
      </c>
      <c r="F174" s="27" t="s">
        <v>154</v>
      </c>
      <c r="G174" s="18" t="s">
        <v>154</v>
      </c>
      <c r="H174" s="16">
        <v>39174000</v>
      </c>
      <c r="I174" s="17">
        <v>0.18</v>
      </c>
      <c r="J174" s="18" t="s">
        <v>2648</v>
      </c>
    </row>
    <row r="175" spans="1:10" ht="13" x14ac:dyDescent="0.3">
      <c r="A175" s="34">
        <v>4042330040</v>
      </c>
      <c r="B175" s="24" t="s">
        <v>2844</v>
      </c>
      <c r="C175" s="25">
        <v>75</v>
      </c>
      <c r="D175" s="18">
        <v>96</v>
      </c>
      <c r="E175" s="15">
        <v>185</v>
      </c>
      <c r="F175" s="27" t="s">
        <v>154</v>
      </c>
      <c r="G175" s="18" t="s">
        <v>154</v>
      </c>
      <c r="H175" s="16">
        <v>39174000</v>
      </c>
      <c r="I175" s="17">
        <v>0.18</v>
      </c>
      <c r="J175" s="18" t="s">
        <v>2648</v>
      </c>
    </row>
    <row r="176" spans="1:10" ht="13" x14ac:dyDescent="0.3">
      <c r="A176" s="34">
        <v>4042340060</v>
      </c>
      <c r="B176" s="24" t="s">
        <v>2844</v>
      </c>
      <c r="C176" s="25">
        <v>110</v>
      </c>
      <c r="D176" s="18">
        <v>80</v>
      </c>
      <c r="E176" s="15">
        <v>195</v>
      </c>
      <c r="F176" s="27" t="s">
        <v>154</v>
      </c>
      <c r="G176" s="18" t="s">
        <v>154</v>
      </c>
      <c r="H176" s="16">
        <v>39174000</v>
      </c>
      <c r="I176" s="17">
        <v>0.18</v>
      </c>
      <c r="J176" s="18" t="s">
        <v>2648</v>
      </c>
    </row>
    <row r="177" spans="1:10" ht="13" x14ac:dyDescent="0.3">
      <c r="A177" s="34">
        <v>4042360040</v>
      </c>
      <c r="B177" s="24" t="s">
        <v>2844</v>
      </c>
      <c r="C177" s="25">
        <v>160</v>
      </c>
      <c r="D177" s="18">
        <v>27</v>
      </c>
      <c r="E177" s="15">
        <v>413</v>
      </c>
      <c r="F177" s="27" t="s">
        <v>154</v>
      </c>
      <c r="G177" s="18" t="s">
        <v>154</v>
      </c>
      <c r="H177" s="16">
        <v>39174000</v>
      </c>
      <c r="I177" s="17">
        <v>0.18</v>
      </c>
      <c r="J177" s="18" t="s">
        <v>2648</v>
      </c>
    </row>
    <row r="178" spans="1:10" ht="13" x14ac:dyDescent="0.3">
      <c r="A178" s="34" t="s">
        <v>2845</v>
      </c>
      <c r="B178" s="24" t="s">
        <v>2846</v>
      </c>
      <c r="C178" s="25" t="s">
        <v>79</v>
      </c>
      <c r="D178" s="18">
        <v>1</v>
      </c>
      <c r="E178" s="15">
        <v>1004</v>
      </c>
      <c r="F178" s="27" t="s">
        <v>2847</v>
      </c>
      <c r="G178" s="18" t="s">
        <v>2888</v>
      </c>
      <c r="H178" s="16">
        <v>39174000</v>
      </c>
      <c r="I178" s="17">
        <v>0.18</v>
      </c>
      <c r="J178" s="18" t="s">
        <v>2648</v>
      </c>
    </row>
    <row r="179" spans="1:10" ht="13" x14ac:dyDescent="0.3">
      <c r="A179" s="34" t="s">
        <v>2848</v>
      </c>
      <c r="B179" s="28" t="s">
        <v>2849</v>
      </c>
      <c r="C179" s="14" t="s">
        <v>101</v>
      </c>
      <c r="D179" s="18">
        <v>1</v>
      </c>
      <c r="E179" s="15">
        <v>1404</v>
      </c>
      <c r="F179" s="12" t="s">
        <v>2847</v>
      </c>
      <c r="G179" s="18" t="s">
        <v>2888</v>
      </c>
      <c r="H179" s="16">
        <v>39174000</v>
      </c>
      <c r="I179" s="17">
        <v>0.18</v>
      </c>
      <c r="J179" s="18" t="s">
        <v>2648</v>
      </c>
    </row>
    <row r="180" spans="1:10" ht="13" x14ac:dyDescent="0.3">
      <c r="A180" s="34" t="s">
        <v>2850</v>
      </c>
      <c r="B180" s="28" t="s">
        <v>2851</v>
      </c>
      <c r="C180" s="14" t="s">
        <v>101</v>
      </c>
      <c r="D180" s="18">
        <v>1</v>
      </c>
      <c r="E180" s="15">
        <v>1404</v>
      </c>
      <c r="F180" s="12" t="s">
        <v>2847</v>
      </c>
      <c r="G180" s="18" t="s">
        <v>2888</v>
      </c>
      <c r="H180" s="16">
        <v>39174000</v>
      </c>
      <c r="I180" s="17">
        <v>0.18</v>
      </c>
      <c r="J180" s="18" t="s">
        <v>2648</v>
      </c>
    </row>
    <row r="181" spans="1:10" ht="13" x14ac:dyDescent="0.3">
      <c r="A181" s="34" t="s">
        <v>2852</v>
      </c>
      <c r="B181" s="28" t="s">
        <v>2853</v>
      </c>
      <c r="C181" s="14" t="s">
        <v>2452</v>
      </c>
      <c r="D181" s="18">
        <v>1</v>
      </c>
      <c r="E181" s="15">
        <v>1604</v>
      </c>
      <c r="F181" s="12" t="s">
        <v>2847</v>
      </c>
      <c r="G181" s="18" t="s">
        <v>2888</v>
      </c>
      <c r="H181" s="16">
        <v>39174000</v>
      </c>
      <c r="I181" s="17">
        <v>0.18</v>
      </c>
      <c r="J181" s="18" t="s">
        <v>2648</v>
      </c>
    </row>
    <row r="182" spans="1:10" ht="13" x14ac:dyDescent="0.3">
      <c r="A182" s="34" t="s">
        <v>523</v>
      </c>
      <c r="B182" s="28" t="s">
        <v>2854</v>
      </c>
      <c r="C182" s="14" t="s">
        <v>82</v>
      </c>
      <c r="D182" s="18">
        <v>10</v>
      </c>
      <c r="E182" s="15">
        <v>1132</v>
      </c>
      <c r="F182" s="12" t="s">
        <v>155</v>
      </c>
      <c r="G182" s="18" t="s">
        <v>316</v>
      </c>
      <c r="H182" s="16">
        <v>39174000</v>
      </c>
      <c r="I182" s="17">
        <v>0.18</v>
      </c>
      <c r="J182" s="18" t="s">
        <v>2648</v>
      </c>
    </row>
    <row r="183" spans="1:10" ht="13" x14ac:dyDescent="0.3">
      <c r="A183" s="34" t="s">
        <v>2448</v>
      </c>
      <c r="B183" s="28" t="s">
        <v>2855</v>
      </c>
      <c r="C183" s="14" t="s">
        <v>82</v>
      </c>
      <c r="D183" s="18">
        <v>6</v>
      </c>
      <c r="E183" s="15">
        <v>2262</v>
      </c>
      <c r="F183" s="12" t="s">
        <v>2449</v>
      </c>
      <c r="G183" s="18" t="s">
        <v>2450</v>
      </c>
      <c r="H183" s="16">
        <v>39174000</v>
      </c>
      <c r="I183" s="17">
        <v>0.18</v>
      </c>
      <c r="J183" s="18" t="s">
        <v>2648</v>
      </c>
    </row>
    <row r="184" spans="1:10" ht="13" x14ac:dyDescent="0.3">
      <c r="A184" s="34" t="s">
        <v>526</v>
      </c>
      <c r="B184" s="28" t="s">
        <v>2856</v>
      </c>
      <c r="C184" s="14" t="s">
        <v>80</v>
      </c>
      <c r="D184" s="18">
        <v>30</v>
      </c>
      <c r="E184" s="15">
        <v>650</v>
      </c>
      <c r="F184" s="12" t="s">
        <v>157</v>
      </c>
      <c r="G184" s="18" t="s">
        <v>315</v>
      </c>
      <c r="H184" s="16">
        <v>39174000</v>
      </c>
      <c r="I184" s="17">
        <v>0.18</v>
      </c>
      <c r="J184" s="18" t="s">
        <v>2648</v>
      </c>
    </row>
    <row r="185" spans="1:10" ht="13" x14ac:dyDescent="0.3">
      <c r="A185" s="34" t="s">
        <v>2857</v>
      </c>
      <c r="B185" s="28" t="s">
        <v>2831</v>
      </c>
      <c r="C185" s="14" t="s">
        <v>101</v>
      </c>
      <c r="D185" s="18">
        <v>10</v>
      </c>
      <c r="E185" s="15">
        <v>1061</v>
      </c>
      <c r="F185" s="12" t="s">
        <v>2492</v>
      </c>
      <c r="G185" s="18" t="s">
        <v>2887</v>
      </c>
      <c r="H185" s="16">
        <v>39174000</v>
      </c>
      <c r="I185" s="17">
        <v>0.18</v>
      </c>
      <c r="J185" s="18" t="s">
        <v>2648</v>
      </c>
    </row>
    <row r="186" spans="1:10" ht="13" x14ac:dyDescent="0.3">
      <c r="A186" s="34">
        <v>41042860</v>
      </c>
      <c r="B186" s="28" t="s">
        <v>2858</v>
      </c>
      <c r="C186" s="14" t="s">
        <v>101</v>
      </c>
      <c r="D186" s="18">
        <v>10</v>
      </c>
      <c r="E186" s="15">
        <v>1265</v>
      </c>
      <c r="F186" s="12" t="s">
        <v>2493</v>
      </c>
      <c r="G186" s="18" t="s">
        <v>2887</v>
      </c>
      <c r="H186" s="16">
        <v>39174000</v>
      </c>
      <c r="I186" s="17">
        <v>0.18</v>
      </c>
      <c r="J186" s="18" t="s">
        <v>2648</v>
      </c>
    </row>
    <row r="187" spans="1:10" ht="13" x14ac:dyDescent="0.3">
      <c r="A187" s="34">
        <v>4102042860</v>
      </c>
      <c r="B187" s="28" t="s">
        <v>2859</v>
      </c>
      <c r="C187" s="14" t="s">
        <v>2452</v>
      </c>
      <c r="D187" s="18">
        <v>10</v>
      </c>
      <c r="E187" s="15">
        <v>1380</v>
      </c>
      <c r="F187" s="12" t="s">
        <v>2860</v>
      </c>
      <c r="G187" s="18" t="s">
        <v>2887</v>
      </c>
      <c r="H187" s="16">
        <v>39174000</v>
      </c>
      <c r="I187" s="17">
        <v>0.18</v>
      </c>
      <c r="J187" s="18" t="s">
        <v>2648</v>
      </c>
    </row>
    <row r="188" spans="1:10" ht="13" x14ac:dyDescent="0.3">
      <c r="A188" s="34">
        <v>4041043280</v>
      </c>
      <c r="B188" s="28" t="s">
        <v>2858</v>
      </c>
      <c r="C188" s="14" t="s">
        <v>114</v>
      </c>
      <c r="D188" s="18">
        <v>5</v>
      </c>
      <c r="E188" s="15">
        <v>1038</v>
      </c>
      <c r="F188" s="12" t="s">
        <v>2496</v>
      </c>
      <c r="G188" s="18" t="s">
        <v>2887</v>
      </c>
      <c r="H188" s="16">
        <v>39174000</v>
      </c>
      <c r="I188" s="17">
        <v>0.18</v>
      </c>
      <c r="J188" s="18" t="s">
        <v>2648</v>
      </c>
    </row>
    <row r="189" spans="1:10" ht="13" x14ac:dyDescent="0.3">
      <c r="A189" s="34">
        <v>60117051</v>
      </c>
      <c r="B189" s="23" t="s">
        <v>2861</v>
      </c>
      <c r="C189" s="22" t="s">
        <v>165</v>
      </c>
      <c r="D189" s="18">
        <v>12</v>
      </c>
      <c r="E189" s="15">
        <v>1257</v>
      </c>
      <c r="F189" s="23" t="s">
        <v>156</v>
      </c>
      <c r="G189" s="18" t="s">
        <v>616</v>
      </c>
      <c r="H189" s="16">
        <v>39174000</v>
      </c>
      <c r="I189" s="17">
        <v>0.18</v>
      </c>
      <c r="J189" s="18" t="s">
        <v>2648</v>
      </c>
    </row>
    <row r="190" spans="1:10" ht="13" x14ac:dyDescent="0.3">
      <c r="A190" s="34" t="s">
        <v>2862</v>
      </c>
      <c r="B190" s="23" t="s">
        <v>2495</v>
      </c>
      <c r="C190" s="22" t="s">
        <v>165</v>
      </c>
      <c r="D190" s="18">
        <v>6</v>
      </c>
      <c r="E190" s="15">
        <v>1680</v>
      </c>
      <c r="F190" s="23" t="s">
        <v>2863</v>
      </c>
      <c r="G190" s="18" t="s">
        <v>2889</v>
      </c>
      <c r="H190" s="16">
        <v>39174000</v>
      </c>
      <c r="I190" s="17">
        <v>0.18</v>
      </c>
      <c r="J190" s="18" t="s">
        <v>2648</v>
      </c>
    </row>
    <row r="191" spans="1:10" ht="13" x14ac:dyDescent="0.3">
      <c r="A191" s="34" t="s">
        <v>524</v>
      </c>
      <c r="B191" s="23" t="s">
        <v>2864</v>
      </c>
      <c r="C191" s="14">
        <v>110</v>
      </c>
      <c r="D191" s="18">
        <v>30</v>
      </c>
      <c r="E191" s="15">
        <v>497</v>
      </c>
      <c r="F191" s="32" t="s">
        <v>116</v>
      </c>
      <c r="G191" s="18" t="s">
        <v>315</v>
      </c>
      <c r="H191" s="16">
        <v>39174000</v>
      </c>
      <c r="I191" s="17">
        <v>0.18</v>
      </c>
      <c r="J191" s="18" t="s">
        <v>2648</v>
      </c>
    </row>
    <row r="192" spans="1:10" ht="13" x14ac:dyDescent="0.3">
      <c r="A192" s="34" t="s">
        <v>525</v>
      </c>
      <c r="B192" s="23" t="s">
        <v>2865</v>
      </c>
      <c r="C192" s="14">
        <v>110</v>
      </c>
      <c r="D192" s="18">
        <v>10</v>
      </c>
      <c r="E192" s="15">
        <v>737</v>
      </c>
      <c r="F192" s="55" t="s">
        <v>116</v>
      </c>
      <c r="G192" s="18" t="s">
        <v>315</v>
      </c>
      <c r="H192" s="16">
        <v>39174000</v>
      </c>
      <c r="I192" s="17">
        <v>0.18</v>
      </c>
      <c r="J192" s="18" t="s">
        <v>2648</v>
      </c>
    </row>
    <row r="193" spans="1:10" ht="13" x14ac:dyDescent="0.3">
      <c r="A193" s="34" t="s">
        <v>2866</v>
      </c>
      <c r="B193" s="23" t="s">
        <v>2867</v>
      </c>
      <c r="C193" s="13" t="s">
        <v>2869</v>
      </c>
      <c r="D193" s="18">
        <v>1</v>
      </c>
      <c r="E193" s="15">
        <v>6600</v>
      </c>
      <c r="F193" s="23" t="s">
        <v>2868</v>
      </c>
      <c r="G193" s="18" t="s">
        <v>315</v>
      </c>
      <c r="H193" s="16">
        <v>39174000</v>
      </c>
      <c r="I193" s="17">
        <v>0.18</v>
      </c>
      <c r="J193" s="18" t="s">
        <v>2648</v>
      </c>
    </row>
    <row r="194" spans="1:10" ht="13" x14ac:dyDescent="0.3">
      <c r="A194" s="34" t="s">
        <v>2870</v>
      </c>
      <c r="B194" s="29" t="s">
        <v>2871</v>
      </c>
      <c r="C194" s="13">
        <v>40</v>
      </c>
      <c r="D194" s="18">
        <v>250</v>
      </c>
      <c r="E194" s="15">
        <v>126</v>
      </c>
      <c r="F194" s="23" t="s">
        <v>2872</v>
      </c>
      <c r="G194" s="18" t="s">
        <v>620</v>
      </c>
      <c r="H194" s="16">
        <v>39174000</v>
      </c>
      <c r="I194" s="17">
        <v>0.18</v>
      </c>
      <c r="J194" s="18" t="s">
        <v>620</v>
      </c>
    </row>
    <row r="195" spans="1:10" ht="13" x14ac:dyDescent="0.3">
      <c r="A195" s="34" t="s">
        <v>2873</v>
      </c>
      <c r="B195" s="24" t="s">
        <v>2871</v>
      </c>
      <c r="C195" s="13">
        <v>50</v>
      </c>
      <c r="D195" s="18">
        <v>200</v>
      </c>
      <c r="E195" s="15">
        <v>138</v>
      </c>
      <c r="F195" s="23" t="s">
        <v>2874</v>
      </c>
      <c r="G195" s="18" t="s">
        <v>620</v>
      </c>
      <c r="H195" s="16">
        <v>39174000</v>
      </c>
      <c r="I195" s="17">
        <v>0.18</v>
      </c>
      <c r="J195" s="18" t="s">
        <v>620</v>
      </c>
    </row>
    <row r="196" spans="1:10" ht="13" x14ac:dyDescent="0.3">
      <c r="A196" s="34" t="s">
        <v>2875</v>
      </c>
      <c r="B196" s="29" t="s">
        <v>2871</v>
      </c>
      <c r="C196" s="30">
        <v>75</v>
      </c>
      <c r="D196" s="18">
        <v>120</v>
      </c>
      <c r="E196" s="15">
        <v>174</v>
      </c>
      <c r="F196" s="12" t="s">
        <v>2876</v>
      </c>
      <c r="G196" s="18" t="s">
        <v>620</v>
      </c>
      <c r="H196" s="16">
        <v>39174000</v>
      </c>
      <c r="I196" s="17">
        <v>0.18</v>
      </c>
      <c r="J196" s="18" t="s">
        <v>620</v>
      </c>
    </row>
    <row r="197" spans="1:10" ht="13" x14ac:dyDescent="0.3">
      <c r="A197" s="34" t="s">
        <v>2877</v>
      </c>
      <c r="B197" s="29" t="s">
        <v>2871</v>
      </c>
      <c r="C197" s="30">
        <v>110</v>
      </c>
      <c r="D197" s="18">
        <v>80</v>
      </c>
      <c r="E197" s="15">
        <v>210</v>
      </c>
      <c r="F197" s="55" t="s">
        <v>2878</v>
      </c>
      <c r="G197" s="18" t="s">
        <v>620</v>
      </c>
      <c r="H197" s="16">
        <v>39174000</v>
      </c>
      <c r="I197" s="17">
        <v>0.18</v>
      </c>
      <c r="J197" s="18" t="s">
        <v>620</v>
      </c>
    </row>
    <row r="198" spans="1:10" ht="13" x14ac:dyDescent="0.3">
      <c r="A198" s="34" t="s">
        <v>2879</v>
      </c>
      <c r="B198" s="29" t="s">
        <v>2871</v>
      </c>
      <c r="C198" s="30">
        <v>125</v>
      </c>
      <c r="D198" s="18">
        <v>80</v>
      </c>
      <c r="E198" s="15">
        <v>246</v>
      </c>
      <c r="F198" s="12" t="s">
        <v>2880</v>
      </c>
      <c r="G198" s="18" t="s">
        <v>620</v>
      </c>
      <c r="H198" s="16">
        <v>39174000</v>
      </c>
      <c r="I198" s="17">
        <v>0.18</v>
      </c>
      <c r="J198" s="18" t="s">
        <v>620</v>
      </c>
    </row>
    <row r="199" spans="1:10" ht="13" x14ac:dyDescent="0.3">
      <c r="A199" s="34" t="s">
        <v>2881</v>
      </c>
      <c r="B199" s="29" t="s">
        <v>2871</v>
      </c>
      <c r="C199" s="30">
        <v>160</v>
      </c>
      <c r="D199" s="18">
        <v>65</v>
      </c>
      <c r="E199" s="15">
        <v>300</v>
      </c>
      <c r="F199" s="55" t="s">
        <v>2882</v>
      </c>
      <c r="G199" s="18" t="s">
        <v>620</v>
      </c>
      <c r="H199" s="16">
        <v>39174000</v>
      </c>
      <c r="I199" s="17">
        <v>0.18</v>
      </c>
      <c r="J199" s="18" t="s">
        <v>620</v>
      </c>
    </row>
    <row r="200" spans="1:10" ht="13" x14ac:dyDescent="0.3">
      <c r="A200" s="34" t="s">
        <v>2883</v>
      </c>
      <c r="B200" s="29" t="s">
        <v>2871</v>
      </c>
      <c r="C200" s="31">
        <v>200</v>
      </c>
      <c r="D200" s="18">
        <v>32</v>
      </c>
      <c r="E200" s="15">
        <v>354</v>
      </c>
      <c r="F200" s="12" t="s">
        <v>2884</v>
      </c>
      <c r="G200" s="18" t="s">
        <v>620</v>
      </c>
      <c r="H200" s="16">
        <v>39174000</v>
      </c>
      <c r="I200" s="17">
        <v>0.18</v>
      </c>
      <c r="J200" s="18" t="s">
        <v>620</v>
      </c>
    </row>
    <row r="201" spans="1:10" ht="13" x14ac:dyDescent="0.3">
      <c r="A201" s="34">
        <v>60150331</v>
      </c>
      <c r="B201" s="29" t="s">
        <v>124</v>
      </c>
      <c r="C201" s="31">
        <v>1</v>
      </c>
      <c r="D201" s="18">
        <v>10</v>
      </c>
      <c r="E201" s="15">
        <v>1288</v>
      </c>
      <c r="F201" s="12" t="s">
        <v>2891</v>
      </c>
      <c r="G201" s="18" t="s">
        <v>617</v>
      </c>
      <c r="H201" s="16">
        <v>39174000</v>
      </c>
      <c r="I201" s="17">
        <v>0.18</v>
      </c>
      <c r="J201" s="18" t="s">
        <v>617</v>
      </c>
    </row>
    <row r="202" spans="1:10" ht="13" x14ac:dyDescent="0.3">
      <c r="A202" s="34">
        <v>60150339</v>
      </c>
      <c r="B202" s="29" t="s">
        <v>2885</v>
      </c>
      <c r="C202" s="31">
        <v>1</v>
      </c>
      <c r="D202" s="18">
        <v>10</v>
      </c>
      <c r="E202" s="15">
        <v>1334</v>
      </c>
      <c r="F202" s="12" t="s">
        <v>2891</v>
      </c>
      <c r="G202" s="18" t="s">
        <v>617</v>
      </c>
      <c r="H202" s="16">
        <v>39174000</v>
      </c>
      <c r="I202" s="17">
        <v>0.18</v>
      </c>
      <c r="J202" s="18" t="s">
        <v>617</v>
      </c>
    </row>
    <row r="203" spans="1:10" ht="13" x14ac:dyDescent="0.3">
      <c r="A203" s="34">
        <v>60150701</v>
      </c>
      <c r="B203" s="29" t="s">
        <v>125</v>
      </c>
      <c r="C203" s="31">
        <v>1</v>
      </c>
      <c r="D203" s="18">
        <v>10</v>
      </c>
      <c r="E203" s="15">
        <v>1791</v>
      </c>
      <c r="F203" s="12" t="s">
        <v>2891</v>
      </c>
      <c r="G203" s="18" t="s">
        <v>617</v>
      </c>
      <c r="H203" s="16">
        <v>39174000</v>
      </c>
      <c r="I203" s="17">
        <v>0.18</v>
      </c>
      <c r="J203" s="18" t="s">
        <v>617</v>
      </c>
    </row>
    <row r="204" spans="1:10" ht="13" x14ac:dyDescent="0.3">
      <c r="A204" s="34">
        <v>60150709</v>
      </c>
      <c r="B204" s="23" t="s">
        <v>2886</v>
      </c>
      <c r="C204" s="13">
        <v>1</v>
      </c>
      <c r="D204" s="18">
        <v>10</v>
      </c>
      <c r="E204" s="15">
        <v>1940</v>
      </c>
      <c r="F204" s="12" t="s">
        <v>2891</v>
      </c>
      <c r="G204" s="18" t="s">
        <v>617</v>
      </c>
      <c r="H204" s="18">
        <v>82057000</v>
      </c>
      <c r="I204" s="17">
        <v>0.18</v>
      </c>
      <c r="J204" s="18" t="s">
        <v>617</v>
      </c>
    </row>
    <row r="205" spans="1:10" ht="13" x14ac:dyDescent="0.3">
      <c r="A205" s="34">
        <v>60200260</v>
      </c>
      <c r="B205" s="23" t="s">
        <v>126</v>
      </c>
      <c r="C205" s="13">
        <v>1</v>
      </c>
      <c r="D205" s="18">
        <v>80</v>
      </c>
      <c r="E205" s="15">
        <v>82</v>
      </c>
      <c r="F205" s="23" t="s">
        <v>618</v>
      </c>
      <c r="G205" s="18" t="s">
        <v>2890</v>
      </c>
      <c r="H205" s="18">
        <v>82057000</v>
      </c>
      <c r="I205" s="17">
        <v>0.18</v>
      </c>
      <c r="J205" s="18" t="s">
        <v>2890</v>
      </c>
    </row>
    <row r="206" spans="1:10" ht="13" x14ac:dyDescent="0.3">
      <c r="A206" s="34">
        <v>60200263</v>
      </c>
      <c r="B206" s="23" t="s">
        <v>126</v>
      </c>
      <c r="C206" s="13">
        <v>1</v>
      </c>
      <c r="D206" s="18">
        <v>80</v>
      </c>
      <c r="E206" s="15">
        <v>78</v>
      </c>
      <c r="F206" s="23" t="s">
        <v>618</v>
      </c>
      <c r="G206" s="18" t="s">
        <v>2890</v>
      </c>
      <c r="H206" s="18">
        <v>82057000</v>
      </c>
      <c r="I206" s="17">
        <v>0.18</v>
      </c>
      <c r="J206" s="18" t="s">
        <v>2890</v>
      </c>
    </row>
    <row r="207" spans="1:10" ht="13" x14ac:dyDescent="0.3">
      <c r="A207" s="34" t="s">
        <v>2920</v>
      </c>
      <c r="B207" s="23" t="s">
        <v>2921</v>
      </c>
      <c r="C207" s="13" t="s">
        <v>2920</v>
      </c>
      <c r="D207" s="18">
        <v>1</v>
      </c>
      <c r="E207" s="15">
        <v>22</v>
      </c>
      <c r="F207" s="23" t="s">
        <v>1435</v>
      </c>
      <c r="G207" s="18" t="s">
        <v>1435</v>
      </c>
      <c r="H207" s="18">
        <v>58032100</v>
      </c>
      <c r="I207" s="17">
        <v>0.18</v>
      </c>
      <c r="J207" s="18" t="s">
        <v>1435</v>
      </c>
    </row>
    <row r="208" spans="1:10" ht="13" x14ac:dyDescent="0.3">
      <c r="A208" s="34" t="s">
        <v>2922</v>
      </c>
      <c r="B208" s="23" t="s">
        <v>2923</v>
      </c>
      <c r="C208" s="13" t="s">
        <v>2922</v>
      </c>
      <c r="D208" s="18">
        <v>1</v>
      </c>
      <c r="E208" s="15">
        <v>29</v>
      </c>
      <c r="F208" s="23" t="s">
        <v>1435</v>
      </c>
      <c r="G208" s="18" t="s">
        <v>1435</v>
      </c>
      <c r="H208" s="18">
        <v>58032100</v>
      </c>
      <c r="I208" s="17">
        <v>0.18</v>
      </c>
      <c r="J208" s="18" t="s">
        <v>1435</v>
      </c>
    </row>
    <row r="209" spans="1:10" ht="13" x14ac:dyDescent="0.3">
      <c r="A209" s="34" t="s">
        <v>2924</v>
      </c>
      <c r="B209" s="23" t="s">
        <v>2925</v>
      </c>
      <c r="C209" s="13" t="s">
        <v>2924</v>
      </c>
      <c r="D209" s="18">
        <v>1</v>
      </c>
      <c r="E209" s="15">
        <v>33</v>
      </c>
      <c r="F209" s="23" t="s">
        <v>1435</v>
      </c>
      <c r="G209" s="18" t="s">
        <v>1435</v>
      </c>
      <c r="H209" s="18">
        <v>58032100</v>
      </c>
      <c r="I209" s="17">
        <v>0.18</v>
      </c>
      <c r="J209" s="18" t="s">
        <v>1435</v>
      </c>
    </row>
    <row r="210" spans="1:10" ht="13" x14ac:dyDescent="0.3">
      <c r="A210" s="34" t="s">
        <v>2926</v>
      </c>
      <c r="B210" s="23" t="s">
        <v>2927</v>
      </c>
      <c r="C210" s="13" t="s">
        <v>2926</v>
      </c>
      <c r="D210" s="18">
        <v>1</v>
      </c>
      <c r="E210" s="15">
        <v>45</v>
      </c>
      <c r="F210" s="23" t="s">
        <v>1435</v>
      </c>
      <c r="G210" s="18" t="s">
        <v>1435</v>
      </c>
      <c r="H210" s="18">
        <v>58032100</v>
      </c>
      <c r="I210" s="17">
        <v>0.18</v>
      </c>
      <c r="J210" s="18" t="s">
        <v>1435</v>
      </c>
    </row>
    <row r="211" spans="1:10" ht="13" x14ac:dyDescent="0.3">
      <c r="A211" s="34" t="s">
        <v>2928</v>
      </c>
      <c r="B211" s="23" t="s">
        <v>2929</v>
      </c>
      <c r="C211" s="13" t="s">
        <v>2928</v>
      </c>
      <c r="D211" s="18">
        <v>1</v>
      </c>
      <c r="E211" s="15">
        <v>76</v>
      </c>
      <c r="F211" s="23" t="s">
        <v>1435</v>
      </c>
      <c r="G211" s="18" t="s">
        <v>1435</v>
      </c>
      <c r="H211" s="18">
        <v>58032100</v>
      </c>
      <c r="I211" s="17">
        <v>0.18</v>
      </c>
      <c r="J211" s="18" t="s">
        <v>1435</v>
      </c>
    </row>
    <row r="212" spans="1:10" ht="13" x14ac:dyDescent="0.3">
      <c r="A212" s="34" t="s">
        <v>2930</v>
      </c>
      <c r="B212" s="23" t="s">
        <v>2931</v>
      </c>
      <c r="C212" s="13" t="s">
        <v>2930</v>
      </c>
      <c r="D212" s="18">
        <v>1</v>
      </c>
      <c r="E212" s="15">
        <v>121</v>
      </c>
      <c r="F212" s="23" t="s">
        <v>1435</v>
      </c>
      <c r="G212" s="18" t="s">
        <v>1435</v>
      </c>
      <c r="H212" s="18">
        <v>58032100</v>
      </c>
      <c r="I212" s="17">
        <v>0.18</v>
      </c>
      <c r="J212" s="18" t="s">
        <v>1435</v>
      </c>
    </row>
    <row r="213" spans="1:10" ht="13" x14ac:dyDescent="0.3">
      <c r="A213" s="34" t="s">
        <v>621</v>
      </c>
      <c r="B213" s="12" t="s">
        <v>2685</v>
      </c>
      <c r="C213" s="13">
        <v>32</v>
      </c>
      <c r="D213" s="18">
        <v>1</v>
      </c>
      <c r="E213" s="15">
        <v>949</v>
      </c>
      <c r="F213" s="12" t="s">
        <v>62</v>
      </c>
      <c r="G213" s="18" t="s">
        <v>120</v>
      </c>
      <c r="H213" s="16">
        <v>39171020</v>
      </c>
      <c r="I213" s="17">
        <v>0.18</v>
      </c>
      <c r="J213" s="18" t="s">
        <v>2650</v>
      </c>
    </row>
    <row r="214" spans="1:10" ht="13" x14ac:dyDescent="0.3">
      <c r="A214" s="34" t="s">
        <v>622</v>
      </c>
      <c r="B214" s="12" t="s">
        <v>2685</v>
      </c>
      <c r="C214" s="13">
        <v>40</v>
      </c>
      <c r="D214" s="18">
        <v>1</v>
      </c>
      <c r="E214" s="15">
        <v>1028</v>
      </c>
      <c r="F214" s="12" t="s">
        <v>62</v>
      </c>
      <c r="G214" s="18" t="s">
        <v>120</v>
      </c>
      <c r="H214" s="16">
        <v>39171020</v>
      </c>
      <c r="I214" s="17">
        <v>0.18</v>
      </c>
      <c r="J214" s="18" t="s">
        <v>2650</v>
      </c>
    </row>
    <row r="215" spans="1:10" ht="13" x14ac:dyDescent="0.3">
      <c r="A215" s="34" t="s">
        <v>623</v>
      </c>
      <c r="B215" s="12" t="s">
        <v>2685</v>
      </c>
      <c r="C215" s="13">
        <v>50</v>
      </c>
      <c r="D215" s="18">
        <v>1</v>
      </c>
      <c r="E215" s="15">
        <v>1313</v>
      </c>
      <c r="F215" s="12" t="s">
        <v>62</v>
      </c>
      <c r="G215" s="18" t="s">
        <v>120</v>
      </c>
      <c r="H215" s="16">
        <v>39171020</v>
      </c>
      <c r="I215" s="17">
        <v>0.18</v>
      </c>
      <c r="J215" s="18" t="s">
        <v>2646</v>
      </c>
    </row>
    <row r="216" spans="1:10" ht="13" x14ac:dyDescent="0.3">
      <c r="A216" s="34" t="s">
        <v>624</v>
      </c>
      <c r="B216" s="12" t="s">
        <v>2685</v>
      </c>
      <c r="C216" s="13">
        <v>75</v>
      </c>
      <c r="D216" s="18">
        <v>1</v>
      </c>
      <c r="E216" s="15">
        <v>2521</v>
      </c>
      <c r="F216" s="12" t="s">
        <v>62</v>
      </c>
      <c r="G216" s="18" t="s">
        <v>120</v>
      </c>
      <c r="H216" s="16">
        <v>39171020</v>
      </c>
      <c r="I216" s="17">
        <v>0.18</v>
      </c>
      <c r="J216" s="18" t="s">
        <v>2650</v>
      </c>
    </row>
    <row r="217" spans="1:10" ht="13" x14ac:dyDescent="0.3">
      <c r="A217" s="34" t="s">
        <v>625</v>
      </c>
      <c r="B217" s="12" t="s">
        <v>2685</v>
      </c>
      <c r="C217" s="13">
        <v>110</v>
      </c>
      <c r="D217" s="18">
        <v>1</v>
      </c>
      <c r="E217" s="15">
        <v>2954</v>
      </c>
      <c r="F217" s="12" t="s">
        <v>62</v>
      </c>
      <c r="G217" s="18" t="s">
        <v>120</v>
      </c>
      <c r="H217" s="16">
        <v>39171020</v>
      </c>
      <c r="I217" s="17">
        <v>0.18</v>
      </c>
      <c r="J217" s="18" t="s">
        <v>2650</v>
      </c>
    </row>
    <row r="218" spans="1:10" ht="13" x14ac:dyDescent="0.3">
      <c r="A218" s="34" t="s">
        <v>626</v>
      </c>
      <c r="B218" s="12" t="s">
        <v>2685</v>
      </c>
      <c r="C218" s="13">
        <v>125</v>
      </c>
      <c r="D218" s="18">
        <v>1</v>
      </c>
      <c r="E218" s="15">
        <v>4166</v>
      </c>
      <c r="F218" s="12" t="s">
        <v>62</v>
      </c>
      <c r="G218" s="18" t="s">
        <v>120</v>
      </c>
      <c r="H218" s="16">
        <v>39171020</v>
      </c>
      <c r="I218" s="17">
        <v>0.18</v>
      </c>
      <c r="J218" s="18" t="s">
        <v>2650</v>
      </c>
    </row>
    <row r="219" spans="1:10" ht="13" x14ac:dyDescent="0.3">
      <c r="A219" s="34" t="s">
        <v>627</v>
      </c>
      <c r="B219" s="12" t="s">
        <v>2685</v>
      </c>
      <c r="C219" s="13">
        <v>160</v>
      </c>
      <c r="D219" s="18">
        <v>1</v>
      </c>
      <c r="E219" s="15">
        <v>6060</v>
      </c>
      <c r="F219" s="12" t="s">
        <v>62</v>
      </c>
      <c r="G219" s="18" t="s">
        <v>120</v>
      </c>
      <c r="H219" s="16">
        <v>39171020</v>
      </c>
      <c r="I219" s="17">
        <v>0.18</v>
      </c>
      <c r="J219" s="18" t="s">
        <v>2650</v>
      </c>
    </row>
    <row r="220" spans="1:10" ht="13" x14ac:dyDescent="0.3">
      <c r="A220" s="34" t="s">
        <v>628</v>
      </c>
      <c r="B220" s="12" t="s">
        <v>2685</v>
      </c>
      <c r="C220" s="13">
        <v>200</v>
      </c>
      <c r="D220" s="18">
        <v>1</v>
      </c>
      <c r="E220" s="15">
        <v>8520</v>
      </c>
      <c r="F220" s="12" t="s">
        <v>62</v>
      </c>
      <c r="G220" s="18" t="s">
        <v>120</v>
      </c>
      <c r="H220" s="16">
        <v>39171020</v>
      </c>
      <c r="I220" s="17">
        <v>0.18</v>
      </c>
      <c r="J220" s="18" t="s">
        <v>2650</v>
      </c>
    </row>
    <row r="221" spans="1:10" ht="13" x14ac:dyDescent="0.3">
      <c r="A221" s="34" t="s">
        <v>629</v>
      </c>
      <c r="B221" s="12" t="s">
        <v>2686</v>
      </c>
      <c r="C221" s="13">
        <v>40</v>
      </c>
      <c r="D221" s="18">
        <v>1</v>
      </c>
      <c r="E221" s="15">
        <v>1062</v>
      </c>
      <c r="F221" s="12" t="s">
        <v>63</v>
      </c>
      <c r="G221" s="18" t="s">
        <v>121</v>
      </c>
      <c r="H221" s="16">
        <v>39171020</v>
      </c>
      <c r="I221" s="17">
        <v>0.18</v>
      </c>
      <c r="J221" s="18" t="s">
        <v>2650</v>
      </c>
    </row>
    <row r="222" spans="1:10" ht="13" x14ac:dyDescent="0.3">
      <c r="A222" s="34" t="s">
        <v>630</v>
      </c>
      <c r="B222" s="12" t="s">
        <v>2686</v>
      </c>
      <c r="C222" s="13">
        <v>50</v>
      </c>
      <c r="D222" s="18">
        <v>1</v>
      </c>
      <c r="E222" s="15">
        <v>1359</v>
      </c>
      <c r="F222" s="12" t="s">
        <v>63</v>
      </c>
      <c r="G222" s="18" t="s">
        <v>121</v>
      </c>
      <c r="H222" s="16">
        <v>39171020</v>
      </c>
      <c r="I222" s="17">
        <v>0.18</v>
      </c>
      <c r="J222" s="18" t="s">
        <v>2650</v>
      </c>
    </row>
    <row r="223" spans="1:10" ht="13" x14ac:dyDescent="0.3">
      <c r="A223" s="34" t="s">
        <v>631</v>
      </c>
      <c r="B223" s="12" t="s">
        <v>2686</v>
      </c>
      <c r="C223" s="13">
        <v>75</v>
      </c>
      <c r="D223" s="18">
        <v>1</v>
      </c>
      <c r="E223" s="15">
        <v>2594</v>
      </c>
      <c r="F223" s="12" t="s">
        <v>63</v>
      </c>
      <c r="G223" s="18" t="s">
        <v>121</v>
      </c>
      <c r="H223" s="16">
        <v>39171020</v>
      </c>
      <c r="I223" s="17">
        <v>0.18</v>
      </c>
      <c r="J223" s="18" t="s">
        <v>2650</v>
      </c>
    </row>
    <row r="224" spans="1:10" ht="13" x14ac:dyDescent="0.3">
      <c r="A224" s="34" t="s">
        <v>632</v>
      </c>
      <c r="B224" s="12" t="s">
        <v>2686</v>
      </c>
      <c r="C224" s="13">
        <v>110</v>
      </c>
      <c r="D224" s="18">
        <v>1</v>
      </c>
      <c r="E224" s="15">
        <v>3111</v>
      </c>
      <c r="F224" s="12" t="s">
        <v>63</v>
      </c>
      <c r="G224" s="18" t="s">
        <v>121</v>
      </c>
      <c r="H224" s="16">
        <v>39171020</v>
      </c>
      <c r="I224" s="17">
        <v>0.18</v>
      </c>
      <c r="J224" s="18" t="s">
        <v>2650</v>
      </c>
    </row>
    <row r="225" spans="1:10" ht="13" x14ac:dyDescent="0.3">
      <c r="A225" s="34" t="s">
        <v>633</v>
      </c>
      <c r="B225" s="12" t="s">
        <v>2686</v>
      </c>
      <c r="C225" s="13">
        <v>125</v>
      </c>
      <c r="D225" s="18">
        <v>1</v>
      </c>
      <c r="E225" s="15">
        <v>4300</v>
      </c>
      <c r="F225" s="12" t="s">
        <v>63</v>
      </c>
      <c r="G225" s="18" t="s">
        <v>121</v>
      </c>
      <c r="H225" s="16">
        <v>39171020</v>
      </c>
      <c r="I225" s="17">
        <v>0.18</v>
      </c>
      <c r="J225" s="18" t="s">
        <v>2650</v>
      </c>
    </row>
    <row r="226" spans="1:10" ht="13" x14ac:dyDescent="0.3">
      <c r="A226" s="34" t="s">
        <v>634</v>
      </c>
      <c r="B226" s="12" t="s">
        <v>2686</v>
      </c>
      <c r="C226" s="13">
        <v>160</v>
      </c>
      <c r="D226" s="18">
        <v>1</v>
      </c>
      <c r="E226" s="15">
        <v>6813</v>
      </c>
      <c r="F226" s="12" t="s">
        <v>63</v>
      </c>
      <c r="G226" s="18" t="s">
        <v>121</v>
      </c>
      <c r="H226" s="16">
        <v>39171020</v>
      </c>
      <c r="I226" s="17">
        <v>0.18</v>
      </c>
      <c r="J226" s="18" t="s">
        <v>2650</v>
      </c>
    </row>
    <row r="227" spans="1:10" ht="13" x14ac:dyDescent="0.3">
      <c r="A227" s="34" t="s">
        <v>635</v>
      </c>
      <c r="B227" s="12" t="s">
        <v>2686</v>
      </c>
      <c r="C227" s="13">
        <v>200</v>
      </c>
      <c r="D227" s="18">
        <v>1</v>
      </c>
      <c r="E227" s="15">
        <v>8654</v>
      </c>
      <c r="F227" s="12" t="s">
        <v>63</v>
      </c>
      <c r="G227" s="18" t="s">
        <v>121</v>
      </c>
      <c r="H227" s="16">
        <v>39171020</v>
      </c>
      <c r="I227" s="17">
        <v>0.18</v>
      </c>
      <c r="J227" s="18" t="s">
        <v>2650</v>
      </c>
    </row>
    <row r="228" spans="1:10" ht="13" x14ac:dyDescent="0.3">
      <c r="A228" s="34" t="s">
        <v>2498</v>
      </c>
      <c r="B228" s="27" t="s">
        <v>2687</v>
      </c>
      <c r="C228" s="22">
        <v>40</v>
      </c>
      <c r="D228" s="18">
        <v>1</v>
      </c>
      <c r="E228" s="15">
        <v>117</v>
      </c>
      <c r="F228" s="27" t="s">
        <v>636</v>
      </c>
      <c r="G228" s="18" t="s">
        <v>120</v>
      </c>
      <c r="H228" s="16">
        <v>39171020</v>
      </c>
      <c r="I228" s="17">
        <v>0.18</v>
      </c>
      <c r="J228" s="18" t="s">
        <v>2650</v>
      </c>
    </row>
    <row r="229" spans="1:10" ht="13" x14ac:dyDescent="0.3">
      <c r="A229" s="34" t="s">
        <v>637</v>
      </c>
      <c r="B229" s="27" t="s">
        <v>2687</v>
      </c>
      <c r="C229" s="22">
        <v>50</v>
      </c>
      <c r="D229" s="18">
        <v>1</v>
      </c>
      <c r="E229" s="15">
        <v>152</v>
      </c>
      <c r="F229" s="27" t="s">
        <v>638</v>
      </c>
      <c r="G229" s="18" t="s">
        <v>120</v>
      </c>
      <c r="H229" s="16">
        <v>39171020</v>
      </c>
      <c r="I229" s="17">
        <v>0.18</v>
      </c>
      <c r="J229" s="18" t="s">
        <v>2650</v>
      </c>
    </row>
    <row r="230" spans="1:10" ht="13" x14ac:dyDescent="0.3">
      <c r="A230" s="34" t="s">
        <v>639</v>
      </c>
      <c r="B230" s="27" t="s">
        <v>2687</v>
      </c>
      <c r="C230" s="22">
        <v>75</v>
      </c>
      <c r="D230" s="18">
        <v>1</v>
      </c>
      <c r="E230" s="15">
        <v>278</v>
      </c>
      <c r="F230" s="27" t="s">
        <v>640</v>
      </c>
      <c r="G230" s="18" t="s">
        <v>120</v>
      </c>
      <c r="H230" s="16">
        <v>39171020</v>
      </c>
      <c r="I230" s="17">
        <v>0.18</v>
      </c>
      <c r="J230" s="18" t="s">
        <v>2650</v>
      </c>
    </row>
    <row r="231" spans="1:10" ht="13" x14ac:dyDescent="0.3">
      <c r="A231" s="34" t="s">
        <v>2530</v>
      </c>
      <c r="B231" s="27" t="s">
        <v>2687</v>
      </c>
      <c r="C231" s="22">
        <v>110</v>
      </c>
      <c r="D231" s="18">
        <v>1</v>
      </c>
      <c r="E231" s="15">
        <v>376</v>
      </c>
      <c r="F231" s="27" t="s">
        <v>641</v>
      </c>
      <c r="G231" s="18" t="s">
        <v>120</v>
      </c>
      <c r="H231" s="16">
        <v>39171020</v>
      </c>
      <c r="I231" s="17">
        <v>0.18</v>
      </c>
      <c r="J231" s="18" t="s">
        <v>2650</v>
      </c>
    </row>
    <row r="232" spans="1:10" ht="13" x14ac:dyDescent="0.3">
      <c r="A232" s="34" t="s">
        <v>2499</v>
      </c>
      <c r="B232" s="27" t="s">
        <v>2687</v>
      </c>
      <c r="C232" s="22">
        <v>125</v>
      </c>
      <c r="D232" s="18">
        <v>1</v>
      </c>
      <c r="E232" s="15">
        <v>471</v>
      </c>
      <c r="F232" s="27" t="s">
        <v>642</v>
      </c>
      <c r="G232" s="18" t="s">
        <v>120</v>
      </c>
      <c r="H232" s="16">
        <v>39171020</v>
      </c>
      <c r="I232" s="17">
        <v>0.18</v>
      </c>
      <c r="J232" s="18" t="s">
        <v>2650</v>
      </c>
    </row>
    <row r="233" spans="1:10" ht="13" x14ac:dyDescent="0.3">
      <c r="A233" s="34" t="s">
        <v>2500</v>
      </c>
      <c r="B233" s="27" t="s">
        <v>2687</v>
      </c>
      <c r="C233" s="22">
        <v>160</v>
      </c>
      <c r="D233" s="18">
        <v>1</v>
      </c>
      <c r="E233" s="15">
        <v>741</v>
      </c>
      <c r="F233" s="27" t="s">
        <v>643</v>
      </c>
      <c r="G233" s="18" t="s">
        <v>120</v>
      </c>
      <c r="H233" s="16">
        <v>39171020</v>
      </c>
      <c r="I233" s="17">
        <v>0.18</v>
      </c>
      <c r="J233" s="18" t="s">
        <v>2650</v>
      </c>
    </row>
    <row r="234" spans="1:10" ht="13" x14ac:dyDescent="0.3">
      <c r="A234" s="34" t="s">
        <v>644</v>
      </c>
      <c r="B234" s="12" t="s">
        <v>2688</v>
      </c>
      <c r="C234" s="22">
        <v>40</v>
      </c>
      <c r="D234" s="18">
        <v>1</v>
      </c>
      <c r="E234" s="15">
        <v>200</v>
      </c>
      <c r="F234" s="12" t="s">
        <v>645</v>
      </c>
      <c r="G234" s="18" t="s">
        <v>120</v>
      </c>
      <c r="H234" s="16">
        <v>39171020</v>
      </c>
      <c r="I234" s="17">
        <v>0.18</v>
      </c>
      <c r="J234" s="18" t="s">
        <v>2650</v>
      </c>
    </row>
    <row r="235" spans="1:10" ht="13" x14ac:dyDescent="0.3">
      <c r="A235" s="34" t="s">
        <v>646</v>
      </c>
      <c r="B235" s="12" t="s">
        <v>2688</v>
      </c>
      <c r="C235" s="22">
        <v>50</v>
      </c>
      <c r="D235" s="18">
        <v>1</v>
      </c>
      <c r="E235" s="15">
        <v>257</v>
      </c>
      <c r="F235" s="12" t="s">
        <v>645</v>
      </c>
      <c r="G235" s="18" t="s">
        <v>120</v>
      </c>
      <c r="H235" s="16">
        <v>39171020</v>
      </c>
      <c r="I235" s="17">
        <v>0.18</v>
      </c>
      <c r="J235" s="18" t="s">
        <v>2650</v>
      </c>
    </row>
    <row r="236" spans="1:10" ht="13" x14ac:dyDescent="0.3">
      <c r="A236" s="34" t="s">
        <v>647</v>
      </c>
      <c r="B236" s="12" t="s">
        <v>2688</v>
      </c>
      <c r="C236" s="22">
        <v>75</v>
      </c>
      <c r="D236" s="18">
        <v>1</v>
      </c>
      <c r="E236" s="15">
        <v>483</v>
      </c>
      <c r="F236" s="12" t="s">
        <v>645</v>
      </c>
      <c r="G236" s="18" t="s">
        <v>120</v>
      </c>
      <c r="H236" s="16">
        <v>39171020</v>
      </c>
      <c r="I236" s="17">
        <v>0.18</v>
      </c>
      <c r="J236" s="18" t="s">
        <v>2650</v>
      </c>
    </row>
    <row r="237" spans="1:10" ht="13" x14ac:dyDescent="0.3">
      <c r="A237" s="34" t="s">
        <v>648</v>
      </c>
      <c r="B237" s="12" t="s">
        <v>2688</v>
      </c>
      <c r="C237" s="22">
        <v>110</v>
      </c>
      <c r="D237" s="18">
        <v>1</v>
      </c>
      <c r="E237" s="15">
        <v>651</v>
      </c>
      <c r="F237" s="12" t="s">
        <v>645</v>
      </c>
      <c r="G237" s="18" t="s">
        <v>120</v>
      </c>
      <c r="H237" s="16">
        <v>39171020</v>
      </c>
      <c r="I237" s="17">
        <v>0.18</v>
      </c>
      <c r="J237" s="18" t="s">
        <v>2650</v>
      </c>
    </row>
    <row r="238" spans="1:10" ht="13" x14ac:dyDescent="0.3">
      <c r="A238" s="34" t="s">
        <v>649</v>
      </c>
      <c r="B238" s="12" t="s">
        <v>2688</v>
      </c>
      <c r="C238" s="22">
        <v>125</v>
      </c>
      <c r="D238" s="18">
        <v>1</v>
      </c>
      <c r="E238" s="15">
        <v>807</v>
      </c>
      <c r="F238" s="12" t="s">
        <v>645</v>
      </c>
      <c r="G238" s="18" t="s">
        <v>120</v>
      </c>
      <c r="H238" s="16">
        <v>39171020</v>
      </c>
      <c r="I238" s="17">
        <v>0.18</v>
      </c>
      <c r="J238" s="18" t="s">
        <v>2650</v>
      </c>
    </row>
    <row r="239" spans="1:10" ht="13" x14ac:dyDescent="0.3">
      <c r="A239" s="34" t="s">
        <v>650</v>
      </c>
      <c r="B239" s="12" t="s">
        <v>2688</v>
      </c>
      <c r="C239" s="22">
        <v>160</v>
      </c>
      <c r="D239" s="18">
        <v>1</v>
      </c>
      <c r="E239" s="15">
        <v>1275</v>
      </c>
      <c r="F239" s="12" t="s">
        <v>645</v>
      </c>
      <c r="G239" s="18" t="s">
        <v>120</v>
      </c>
      <c r="H239" s="16">
        <v>39171020</v>
      </c>
      <c r="I239" s="17">
        <v>0.18</v>
      </c>
      <c r="J239" s="18" t="s">
        <v>2650</v>
      </c>
    </row>
    <row r="240" spans="1:10" ht="13" x14ac:dyDescent="0.3">
      <c r="A240" s="34" t="s">
        <v>651</v>
      </c>
      <c r="B240" s="12" t="s">
        <v>2689</v>
      </c>
      <c r="C240" s="22">
        <v>40</v>
      </c>
      <c r="D240" s="18">
        <v>1</v>
      </c>
      <c r="E240" s="15">
        <v>366</v>
      </c>
      <c r="F240" s="12" t="s">
        <v>652</v>
      </c>
      <c r="G240" s="18" t="s">
        <v>120</v>
      </c>
      <c r="H240" s="16">
        <v>39171020</v>
      </c>
      <c r="I240" s="17">
        <v>0.18</v>
      </c>
      <c r="J240" s="18" t="s">
        <v>2650</v>
      </c>
    </row>
    <row r="241" spans="1:10" ht="13" x14ac:dyDescent="0.3">
      <c r="A241" s="34" t="s">
        <v>653</v>
      </c>
      <c r="B241" s="12" t="s">
        <v>2689</v>
      </c>
      <c r="C241" s="22">
        <v>50</v>
      </c>
      <c r="D241" s="18">
        <v>1</v>
      </c>
      <c r="E241" s="15">
        <v>469</v>
      </c>
      <c r="F241" s="12" t="s">
        <v>652</v>
      </c>
      <c r="G241" s="18" t="s">
        <v>120</v>
      </c>
      <c r="H241" s="16">
        <v>39171020</v>
      </c>
      <c r="I241" s="17">
        <v>0.18</v>
      </c>
      <c r="J241" s="18" t="s">
        <v>2650</v>
      </c>
    </row>
    <row r="242" spans="1:10" ht="13" x14ac:dyDescent="0.3">
      <c r="A242" s="34" t="s">
        <v>654</v>
      </c>
      <c r="B242" s="12" t="s">
        <v>2689</v>
      </c>
      <c r="C242" s="22">
        <v>75</v>
      </c>
      <c r="D242" s="18">
        <v>1</v>
      </c>
      <c r="E242" s="15">
        <v>890</v>
      </c>
      <c r="F242" s="12" t="s">
        <v>652</v>
      </c>
      <c r="G242" s="18" t="s">
        <v>120</v>
      </c>
      <c r="H242" s="16">
        <v>39171020</v>
      </c>
      <c r="I242" s="17">
        <v>0.18</v>
      </c>
      <c r="J242" s="18" t="s">
        <v>2650</v>
      </c>
    </row>
    <row r="243" spans="1:10" ht="13" x14ac:dyDescent="0.3">
      <c r="A243" s="34" t="s">
        <v>655</v>
      </c>
      <c r="B243" s="12" t="s">
        <v>2689</v>
      </c>
      <c r="C243" s="22">
        <v>110</v>
      </c>
      <c r="D243" s="18">
        <v>1</v>
      </c>
      <c r="E243" s="15">
        <v>1202</v>
      </c>
      <c r="F243" s="12" t="s">
        <v>652</v>
      </c>
      <c r="G243" s="18" t="s">
        <v>120</v>
      </c>
      <c r="H243" s="16">
        <v>39171020</v>
      </c>
      <c r="I243" s="17">
        <v>0.18</v>
      </c>
      <c r="J243" s="18" t="s">
        <v>2650</v>
      </c>
    </row>
    <row r="244" spans="1:10" ht="13" x14ac:dyDescent="0.3">
      <c r="A244" s="34" t="s">
        <v>656</v>
      </c>
      <c r="B244" s="12" t="s">
        <v>2689</v>
      </c>
      <c r="C244" s="22">
        <v>125</v>
      </c>
      <c r="D244" s="18">
        <v>1</v>
      </c>
      <c r="E244" s="15">
        <v>1479</v>
      </c>
      <c r="F244" s="12" t="s">
        <v>652</v>
      </c>
      <c r="G244" s="18" t="s">
        <v>120</v>
      </c>
      <c r="H244" s="16">
        <v>39171020</v>
      </c>
      <c r="I244" s="17">
        <v>0.18</v>
      </c>
      <c r="J244" s="18" t="s">
        <v>2650</v>
      </c>
    </row>
    <row r="245" spans="1:10" ht="13" x14ac:dyDescent="0.3">
      <c r="A245" s="34" t="s">
        <v>657</v>
      </c>
      <c r="B245" s="12" t="s">
        <v>2689</v>
      </c>
      <c r="C245" s="22">
        <v>160</v>
      </c>
      <c r="D245" s="18">
        <v>1</v>
      </c>
      <c r="E245" s="15">
        <v>2340</v>
      </c>
      <c r="F245" s="12" t="s">
        <v>652</v>
      </c>
      <c r="G245" s="18" t="s">
        <v>120</v>
      </c>
      <c r="H245" s="16">
        <v>39171020</v>
      </c>
      <c r="I245" s="17">
        <v>0.18</v>
      </c>
      <c r="J245" s="18" t="s">
        <v>2650</v>
      </c>
    </row>
    <row r="246" spans="1:10" ht="13" x14ac:dyDescent="0.3">
      <c r="A246" s="34" t="s">
        <v>658</v>
      </c>
      <c r="B246" s="12" t="s">
        <v>2689</v>
      </c>
      <c r="C246" s="22">
        <v>200</v>
      </c>
      <c r="D246" s="18">
        <v>1</v>
      </c>
      <c r="E246" s="15">
        <v>2926</v>
      </c>
      <c r="F246" s="12" t="s">
        <v>652</v>
      </c>
      <c r="G246" s="18" t="s">
        <v>120</v>
      </c>
      <c r="H246" s="16">
        <v>39171020</v>
      </c>
      <c r="I246" s="17">
        <v>0.18</v>
      </c>
      <c r="J246" s="18" t="s">
        <v>2650</v>
      </c>
    </row>
    <row r="247" spans="1:10" ht="13" x14ac:dyDescent="0.3">
      <c r="A247" s="34" t="s">
        <v>659</v>
      </c>
      <c r="B247" s="12" t="s">
        <v>2690</v>
      </c>
      <c r="C247" s="22">
        <v>40</v>
      </c>
      <c r="D247" s="18">
        <v>1</v>
      </c>
      <c r="E247" s="15">
        <v>531</v>
      </c>
      <c r="F247" s="12" t="s">
        <v>660</v>
      </c>
      <c r="G247" s="18" t="s">
        <v>120</v>
      </c>
      <c r="H247" s="16">
        <v>39171020</v>
      </c>
      <c r="I247" s="17">
        <v>0.18</v>
      </c>
      <c r="J247" s="18" t="s">
        <v>2650</v>
      </c>
    </row>
    <row r="248" spans="1:10" ht="13" x14ac:dyDescent="0.3">
      <c r="A248" s="34" t="s">
        <v>661</v>
      </c>
      <c r="B248" s="12" t="s">
        <v>2690</v>
      </c>
      <c r="C248" s="22">
        <v>50</v>
      </c>
      <c r="D248" s="18">
        <v>1</v>
      </c>
      <c r="E248" s="15">
        <v>680</v>
      </c>
      <c r="F248" s="12" t="s">
        <v>660</v>
      </c>
      <c r="G248" s="18" t="s">
        <v>120</v>
      </c>
      <c r="H248" s="16">
        <v>39171020</v>
      </c>
      <c r="I248" s="17">
        <v>0.18</v>
      </c>
      <c r="J248" s="18" t="s">
        <v>2650</v>
      </c>
    </row>
    <row r="249" spans="1:10" ht="13" x14ac:dyDescent="0.3">
      <c r="A249" s="34" t="s">
        <v>662</v>
      </c>
      <c r="B249" s="12" t="s">
        <v>2690</v>
      </c>
      <c r="C249" s="22">
        <v>75</v>
      </c>
      <c r="D249" s="18">
        <v>1</v>
      </c>
      <c r="E249" s="15">
        <v>1298</v>
      </c>
      <c r="F249" s="12" t="s">
        <v>660</v>
      </c>
      <c r="G249" s="18" t="s">
        <v>120</v>
      </c>
      <c r="H249" s="16">
        <v>39171020</v>
      </c>
      <c r="I249" s="17">
        <v>0.18</v>
      </c>
      <c r="J249" s="18" t="s">
        <v>2650</v>
      </c>
    </row>
    <row r="250" spans="1:10" ht="13" x14ac:dyDescent="0.3">
      <c r="A250" s="34" t="s">
        <v>663</v>
      </c>
      <c r="B250" s="12" t="s">
        <v>2690</v>
      </c>
      <c r="C250" s="22">
        <v>110</v>
      </c>
      <c r="D250" s="18">
        <v>1</v>
      </c>
      <c r="E250" s="15">
        <v>1751</v>
      </c>
      <c r="F250" s="12" t="s">
        <v>660</v>
      </c>
      <c r="G250" s="18" t="s">
        <v>120</v>
      </c>
      <c r="H250" s="16">
        <v>39171020</v>
      </c>
      <c r="I250" s="17">
        <v>0.18</v>
      </c>
      <c r="J250" s="18" t="s">
        <v>2650</v>
      </c>
    </row>
    <row r="251" spans="1:10" ht="13" x14ac:dyDescent="0.3">
      <c r="A251" s="34" t="s">
        <v>664</v>
      </c>
      <c r="B251" s="12" t="s">
        <v>2690</v>
      </c>
      <c r="C251" s="22">
        <v>125</v>
      </c>
      <c r="D251" s="18">
        <v>1</v>
      </c>
      <c r="E251" s="15">
        <v>2391</v>
      </c>
      <c r="F251" s="12" t="s">
        <v>660</v>
      </c>
      <c r="G251" s="18" t="s">
        <v>120</v>
      </c>
      <c r="H251" s="16">
        <v>39171020</v>
      </c>
      <c r="I251" s="17">
        <v>0.18</v>
      </c>
      <c r="J251" s="18" t="s">
        <v>2650</v>
      </c>
    </row>
    <row r="252" spans="1:10" ht="13" x14ac:dyDescent="0.3">
      <c r="A252" s="34" t="s">
        <v>665</v>
      </c>
      <c r="B252" s="12" t="s">
        <v>2690</v>
      </c>
      <c r="C252" s="22">
        <v>160</v>
      </c>
      <c r="D252" s="18">
        <v>1</v>
      </c>
      <c r="E252" s="15">
        <v>3407</v>
      </c>
      <c r="F252" s="12" t="s">
        <v>660</v>
      </c>
      <c r="G252" s="18" t="s">
        <v>120</v>
      </c>
      <c r="H252" s="16">
        <v>39171020</v>
      </c>
      <c r="I252" s="17">
        <v>0.18</v>
      </c>
      <c r="J252" s="18" t="s">
        <v>2650</v>
      </c>
    </row>
    <row r="253" spans="1:10" ht="13" x14ac:dyDescent="0.3">
      <c r="A253" s="34" t="s">
        <v>666</v>
      </c>
      <c r="B253" s="12" t="s">
        <v>2690</v>
      </c>
      <c r="C253" s="22">
        <v>200</v>
      </c>
      <c r="D253" s="18">
        <v>1</v>
      </c>
      <c r="E253" s="15">
        <v>4323</v>
      </c>
      <c r="F253" s="12" t="s">
        <v>660</v>
      </c>
      <c r="G253" s="18" t="s">
        <v>120</v>
      </c>
      <c r="H253" s="16">
        <v>39171020</v>
      </c>
      <c r="I253" s="17">
        <v>0.18</v>
      </c>
      <c r="J253" s="18" t="s">
        <v>2650</v>
      </c>
    </row>
    <row r="254" spans="1:10" ht="13" x14ac:dyDescent="0.3">
      <c r="A254" s="34" t="s">
        <v>667</v>
      </c>
      <c r="B254" s="12" t="s">
        <v>2691</v>
      </c>
      <c r="C254" s="22">
        <v>40</v>
      </c>
      <c r="D254" s="18">
        <v>1</v>
      </c>
      <c r="E254" s="15">
        <v>697</v>
      </c>
      <c r="F254" s="12" t="s">
        <v>668</v>
      </c>
      <c r="G254" s="18" t="s">
        <v>120</v>
      </c>
      <c r="H254" s="16">
        <v>39171020</v>
      </c>
      <c r="I254" s="17">
        <v>0.18</v>
      </c>
      <c r="J254" s="18" t="s">
        <v>2650</v>
      </c>
    </row>
    <row r="255" spans="1:10" ht="13" x14ac:dyDescent="0.3">
      <c r="A255" s="34" t="s">
        <v>669</v>
      </c>
      <c r="B255" s="12" t="s">
        <v>2691</v>
      </c>
      <c r="C255" s="22">
        <v>50</v>
      </c>
      <c r="D255" s="18">
        <v>1</v>
      </c>
      <c r="E255" s="15">
        <v>890</v>
      </c>
      <c r="F255" s="12" t="s">
        <v>668</v>
      </c>
      <c r="G255" s="18" t="s">
        <v>120</v>
      </c>
      <c r="H255" s="16">
        <v>39171020</v>
      </c>
      <c r="I255" s="17">
        <v>0.18</v>
      </c>
      <c r="J255" s="18" t="s">
        <v>2646</v>
      </c>
    </row>
    <row r="256" spans="1:10" ht="13" x14ac:dyDescent="0.3">
      <c r="A256" s="34" t="s">
        <v>670</v>
      </c>
      <c r="B256" s="12" t="s">
        <v>2691</v>
      </c>
      <c r="C256" s="22">
        <v>75</v>
      </c>
      <c r="D256" s="18">
        <v>1</v>
      </c>
      <c r="E256" s="15">
        <v>1705</v>
      </c>
      <c r="F256" s="12" t="s">
        <v>668</v>
      </c>
      <c r="G256" s="18" t="s">
        <v>120</v>
      </c>
      <c r="H256" s="16">
        <v>39171020</v>
      </c>
      <c r="I256" s="17">
        <v>0.18</v>
      </c>
      <c r="J256" s="18" t="s">
        <v>2650</v>
      </c>
    </row>
    <row r="257" spans="1:10" ht="13" x14ac:dyDescent="0.3">
      <c r="A257" s="34" t="s">
        <v>671</v>
      </c>
      <c r="B257" s="12" t="s">
        <v>2691</v>
      </c>
      <c r="C257" s="22">
        <v>110</v>
      </c>
      <c r="D257" s="18">
        <v>1</v>
      </c>
      <c r="E257" s="15">
        <v>2301</v>
      </c>
      <c r="F257" s="12" t="s">
        <v>668</v>
      </c>
      <c r="G257" s="18" t="s">
        <v>120</v>
      </c>
      <c r="H257" s="16">
        <v>39171020</v>
      </c>
      <c r="I257" s="17">
        <v>0.18</v>
      </c>
      <c r="J257" s="18" t="s">
        <v>2650</v>
      </c>
    </row>
    <row r="258" spans="1:10" ht="13" x14ac:dyDescent="0.3">
      <c r="A258" s="34" t="s">
        <v>672</v>
      </c>
      <c r="B258" s="12" t="s">
        <v>2691</v>
      </c>
      <c r="C258" s="22">
        <v>125</v>
      </c>
      <c r="D258" s="18">
        <v>1</v>
      </c>
      <c r="E258" s="15">
        <v>2822</v>
      </c>
      <c r="F258" s="12" t="s">
        <v>668</v>
      </c>
      <c r="G258" s="18" t="s">
        <v>120</v>
      </c>
      <c r="H258" s="16">
        <v>39171020</v>
      </c>
      <c r="I258" s="17">
        <v>0.18</v>
      </c>
      <c r="J258" s="18" t="s">
        <v>2650</v>
      </c>
    </row>
    <row r="259" spans="1:10" ht="13" x14ac:dyDescent="0.3">
      <c r="A259" s="34" t="s">
        <v>673</v>
      </c>
      <c r="B259" s="12" t="s">
        <v>2691</v>
      </c>
      <c r="C259" s="22">
        <v>160</v>
      </c>
      <c r="D259" s="18">
        <v>1</v>
      </c>
      <c r="E259" s="15">
        <v>4473</v>
      </c>
      <c r="F259" s="12" t="s">
        <v>668</v>
      </c>
      <c r="G259" s="18" t="s">
        <v>120</v>
      </c>
      <c r="H259" s="16">
        <v>39171020</v>
      </c>
      <c r="I259" s="17">
        <v>0.18</v>
      </c>
      <c r="J259" s="18" t="s">
        <v>2650</v>
      </c>
    </row>
    <row r="260" spans="1:10" ht="13" x14ac:dyDescent="0.3">
      <c r="A260" s="34" t="s">
        <v>674</v>
      </c>
      <c r="B260" s="12" t="s">
        <v>2691</v>
      </c>
      <c r="C260" s="22">
        <v>200</v>
      </c>
      <c r="D260" s="18">
        <v>1</v>
      </c>
      <c r="E260" s="15">
        <v>5719</v>
      </c>
      <c r="F260" s="12" t="s">
        <v>668</v>
      </c>
      <c r="G260" s="18" t="s">
        <v>120</v>
      </c>
      <c r="H260" s="16">
        <v>39171020</v>
      </c>
      <c r="I260" s="17">
        <v>0.18</v>
      </c>
      <c r="J260" s="18" t="s">
        <v>2650</v>
      </c>
    </row>
    <row r="261" spans="1:10" ht="13" x14ac:dyDescent="0.3">
      <c r="A261" s="34" t="s">
        <v>675</v>
      </c>
      <c r="B261" s="12" t="s">
        <v>2692</v>
      </c>
      <c r="C261" s="22">
        <v>40</v>
      </c>
      <c r="D261" s="18">
        <v>1</v>
      </c>
      <c r="E261" s="15">
        <v>234</v>
      </c>
      <c r="F261" s="12" t="s">
        <v>676</v>
      </c>
      <c r="G261" s="18" t="s">
        <v>121</v>
      </c>
      <c r="H261" s="16">
        <v>39171020</v>
      </c>
      <c r="I261" s="17">
        <v>0.18</v>
      </c>
      <c r="J261" s="18" t="s">
        <v>2650</v>
      </c>
    </row>
    <row r="262" spans="1:10" ht="13" x14ac:dyDescent="0.3">
      <c r="A262" s="34" t="s">
        <v>677</v>
      </c>
      <c r="B262" s="12" t="s">
        <v>2692</v>
      </c>
      <c r="C262" s="22">
        <v>50</v>
      </c>
      <c r="D262" s="18">
        <v>1</v>
      </c>
      <c r="E262" s="15">
        <v>303</v>
      </c>
      <c r="F262" s="12" t="s">
        <v>676</v>
      </c>
      <c r="G262" s="18" t="s">
        <v>121</v>
      </c>
      <c r="H262" s="16">
        <v>39171020</v>
      </c>
      <c r="I262" s="17">
        <v>0.18</v>
      </c>
      <c r="J262" s="18" t="s">
        <v>2650</v>
      </c>
    </row>
    <row r="263" spans="1:10" ht="13" x14ac:dyDescent="0.3">
      <c r="A263" s="34" t="s">
        <v>678</v>
      </c>
      <c r="B263" s="12" t="s">
        <v>2692</v>
      </c>
      <c r="C263" s="22">
        <v>75</v>
      </c>
      <c r="D263" s="18">
        <v>1</v>
      </c>
      <c r="E263" s="15">
        <v>556</v>
      </c>
      <c r="F263" s="12" t="s">
        <v>676</v>
      </c>
      <c r="G263" s="18" t="s">
        <v>121</v>
      </c>
      <c r="H263" s="16">
        <v>39171020</v>
      </c>
      <c r="I263" s="17">
        <v>0.18</v>
      </c>
      <c r="J263" s="18" t="s">
        <v>2650</v>
      </c>
    </row>
    <row r="264" spans="1:10" ht="13" x14ac:dyDescent="0.3">
      <c r="A264" s="34" t="s">
        <v>679</v>
      </c>
      <c r="B264" s="12" t="s">
        <v>2692</v>
      </c>
      <c r="C264" s="22">
        <v>110</v>
      </c>
      <c r="D264" s="18">
        <v>1</v>
      </c>
      <c r="E264" s="15">
        <v>752</v>
      </c>
      <c r="F264" s="12" t="s">
        <v>676</v>
      </c>
      <c r="G264" s="18" t="s">
        <v>121</v>
      </c>
      <c r="H264" s="16">
        <v>39171020</v>
      </c>
      <c r="I264" s="17">
        <v>0.18</v>
      </c>
      <c r="J264" s="18" t="s">
        <v>2650</v>
      </c>
    </row>
    <row r="265" spans="1:10" ht="13" x14ac:dyDescent="0.3">
      <c r="A265" s="34" t="s">
        <v>680</v>
      </c>
      <c r="B265" s="12" t="s">
        <v>2692</v>
      </c>
      <c r="C265" s="22">
        <v>125</v>
      </c>
      <c r="D265" s="18">
        <v>1</v>
      </c>
      <c r="E265" s="15">
        <v>947</v>
      </c>
      <c r="F265" s="12" t="s">
        <v>676</v>
      </c>
      <c r="G265" s="18" t="s">
        <v>121</v>
      </c>
      <c r="H265" s="16">
        <v>39171020</v>
      </c>
      <c r="I265" s="17">
        <v>0.18</v>
      </c>
      <c r="J265" s="18" t="s">
        <v>2650</v>
      </c>
    </row>
    <row r="266" spans="1:10" ht="13" x14ac:dyDescent="0.3">
      <c r="A266" s="34" t="s">
        <v>681</v>
      </c>
      <c r="B266" s="12" t="s">
        <v>2692</v>
      </c>
      <c r="C266" s="22">
        <v>160</v>
      </c>
      <c r="D266" s="18">
        <v>1</v>
      </c>
      <c r="E266" s="15">
        <v>1482</v>
      </c>
      <c r="F266" s="12" t="s">
        <v>676</v>
      </c>
      <c r="G266" s="18" t="s">
        <v>121</v>
      </c>
      <c r="H266" s="16">
        <v>39171020</v>
      </c>
      <c r="I266" s="17">
        <v>0.18</v>
      </c>
      <c r="J266" s="18" t="s">
        <v>2650</v>
      </c>
    </row>
    <row r="267" spans="1:10" ht="13" x14ac:dyDescent="0.3">
      <c r="A267" s="34" t="s">
        <v>682</v>
      </c>
      <c r="B267" s="12" t="s">
        <v>2693</v>
      </c>
      <c r="C267" s="22">
        <v>40</v>
      </c>
      <c r="D267" s="18">
        <v>1</v>
      </c>
      <c r="E267" s="15">
        <v>400</v>
      </c>
      <c r="F267" s="12" t="s">
        <v>683</v>
      </c>
      <c r="G267" s="18" t="s">
        <v>121</v>
      </c>
      <c r="H267" s="16">
        <v>39171020</v>
      </c>
      <c r="I267" s="17">
        <v>0.18</v>
      </c>
      <c r="J267" s="18" t="s">
        <v>2650</v>
      </c>
    </row>
    <row r="268" spans="1:10" ht="13" x14ac:dyDescent="0.3">
      <c r="A268" s="34" t="s">
        <v>684</v>
      </c>
      <c r="B268" s="12" t="s">
        <v>2693</v>
      </c>
      <c r="C268" s="22">
        <v>50</v>
      </c>
      <c r="D268" s="18">
        <v>1</v>
      </c>
      <c r="E268" s="15">
        <v>514</v>
      </c>
      <c r="F268" s="12" t="s">
        <v>683</v>
      </c>
      <c r="G268" s="18" t="s">
        <v>121</v>
      </c>
      <c r="H268" s="16">
        <v>39171020</v>
      </c>
      <c r="I268" s="17">
        <v>0.18</v>
      </c>
      <c r="J268" s="18" t="s">
        <v>2650</v>
      </c>
    </row>
    <row r="269" spans="1:10" ht="13" x14ac:dyDescent="0.3">
      <c r="A269" s="34" t="s">
        <v>685</v>
      </c>
      <c r="B269" s="12" t="s">
        <v>2693</v>
      </c>
      <c r="C269" s="22">
        <v>75</v>
      </c>
      <c r="D269" s="18">
        <v>1</v>
      </c>
      <c r="E269" s="15">
        <v>964</v>
      </c>
      <c r="F269" s="12" t="s">
        <v>683</v>
      </c>
      <c r="G269" s="18" t="s">
        <v>121</v>
      </c>
      <c r="H269" s="16">
        <v>39171020</v>
      </c>
      <c r="I269" s="17">
        <v>0.18</v>
      </c>
      <c r="J269" s="18" t="s">
        <v>2650</v>
      </c>
    </row>
    <row r="270" spans="1:10" ht="13" x14ac:dyDescent="0.3">
      <c r="A270" s="34" t="s">
        <v>686</v>
      </c>
      <c r="B270" s="12" t="s">
        <v>2693</v>
      </c>
      <c r="C270" s="22">
        <v>110</v>
      </c>
      <c r="D270" s="18">
        <v>1</v>
      </c>
      <c r="E270" s="15">
        <v>1301</v>
      </c>
      <c r="F270" s="12" t="s">
        <v>683</v>
      </c>
      <c r="G270" s="18" t="s">
        <v>121</v>
      </c>
      <c r="H270" s="16">
        <v>39171020</v>
      </c>
      <c r="I270" s="17">
        <v>0.18</v>
      </c>
      <c r="J270" s="18" t="s">
        <v>2650</v>
      </c>
    </row>
    <row r="271" spans="1:10" ht="13" x14ac:dyDescent="0.3">
      <c r="A271" s="34" t="s">
        <v>687</v>
      </c>
      <c r="B271" s="12" t="s">
        <v>2693</v>
      </c>
      <c r="C271" s="22">
        <v>125</v>
      </c>
      <c r="D271" s="18">
        <v>1</v>
      </c>
      <c r="E271" s="15">
        <v>1613</v>
      </c>
      <c r="F271" s="12" t="s">
        <v>683</v>
      </c>
      <c r="G271" s="18" t="s">
        <v>121</v>
      </c>
      <c r="H271" s="16">
        <v>39171020</v>
      </c>
      <c r="I271" s="17">
        <v>0.18</v>
      </c>
      <c r="J271" s="18" t="s">
        <v>2650</v>
      </c>
    </row>
    <row r="272" spans="1:10" ht="13" x14ac:dyDescent="0.3">
      <c r="A272" s="34" t="s">
        <v>688</v>
      </c>
      <c r="B272" s="12" t="s">
        <v>2693</v>
      </c>
      <c r="C272" s="22">
        <v>160</v>
      </c>
      <c r="D272" s="18">
        <v>1</v>
      </c>
      <c r="E272" s="15">
        <v>2548</v>
      </c>
      <c r="F272" s="12" t="s">
        <v>683</v>
      </c>
      <c r="G272" s="18" t="s">
        <v>121</v>
      </c>
      <c r="H272" s="16">
        <v>39171020</v>
      </c>
      <c r="I272" s="17">
        <v>0.18</v>
      </c>
      <c r="J272" s="18" t="s">
        <v>2650</v>
      </c>
    </row>
    <row r="273" spans="1:10" ht="13" x14ac:dyDescent="0.3">
      <c r="A273" s="34" t="s">
        <v>689</v>
      </c>
      <c r="B273" s="12" t="s">
        <v>2693</v>
      </c>
      <c r="C273" s="22">
        <v>200</v>
      </c>
      <c r="D273" s="18">
        <v>1</v>
      </c>
      <c r="E273" s="15">
        <v>3059</v>
      </c>
      <c r="F273" s="12" t="s">
        <v>683</v>
      </c>
      <c r="G273" s="18" t="s">
        <v>121</v>
      </c>
      <c r="H273" s="16">
        <v>39171020</v>
      </c>
      <c r="I273" s="17">
        <v>0.18</v>
      </c>
      <c r="J273" s="18" t="s">
        <v>2650</v>
      </c>
    </row>
    <row r="274" spans="1:10" ht="13" x14ac:dyDescent="0.3">
      <c r="A274" s="34" t="s">
        <v>690</v>
      </c>
      <c r="B274" s="12" t="s">
        <v>2694</v>
      </c>
      <c r="C274" s="22">
        <v>40</v>
      </c>
      <c r="D274" s="18">
        <v>1</v>
      </c>
      <c r="E274" s="15">
        <v>565</v>
      </c>
      <c r="F274" s="12" t="s">
        <v>691</v>
      </c>
      <c r="G274" s="18" t="s">
        <v>121</v>
      </c>
      <c r="H274" s="16">
        <v>39171020</v>
      </c>
      <c r="I274" s="17">
        <v>0.18</v>
      </c>
      <c r="J274" s="18" t="s">
        <v>2650</v>
      </c>
    </row>
    <row r="275" spans="1:10" ht="13" x14ac:dyDescent="0.3">
      <c r="A275" s="34" t="s">
        <v>692</v>
      </c>
      <c r="B275" s="12" t="s">
        <v>2694</v>
      </c>
      <c r="C275" s="22">
        <v>50</v>
      </c>
      <c r="D275" s="18">
        <v>1</v>
      </c>
      <c r="E275" s="15">
        <v>724</v>
      </c>
      <c r="F275" s="12" t="s">
        <v>691</v>
      </c>
      <c r="G275" s="18" t="s">
        <v>121</v>
      </c>
      <c r="H275" s="16">
        <v>39171020</v>
      </c>
      <c r="I275" s="17">
        <v>0.18</v>
      </c>
      <c r="J275" s="18" t="s">
        <v>2650</v>
      </c>
    </row>
    <row r="276" spans="1:10" ht="13" x14ac:dyDescent="0.3">
      <c r="A276" s="34" t="s">
        <v>693</v>
      </c>
      <c r="B276" s="12" t="s">
        <v>2694</v>
      </c>
      <c r="C276" s="22">
        <v>75</v>
      </c>
      <c r="D276" s="18">
        <v>1</v>
      </c>
      <c r="E276" s="15">
        <v>1372</v>
      </c>
      <c r="F276" s="12" t="s">
        <v>691</v>
      </c>
      <c r="G276" s="18" t="s">
        <v>121</v>
      </c>
      <c r="H276" s="16">
        <v>39171020</v>
      </c>
      <c r="I276" s="17">
        <v>0.18</v>
      </c>
      <c r="J276" s="18" t="s">
        <v>2650</v>
      </c>
    </row>
    <row r="277" spans="1:10" ht="13" x14ac:dyDescent="0.3">
      <c r="A277" s="34" t="s">
        <v>694</v>
      </c>
      <c r="B277" s="12" t="s">
        <v>2694</v>
      </c>
      <c r="C277" s="22">
        <v>110</v>
      </c>
      <c r="D277" s="18">
        <v>1</v>
      </c>
      <c r="E277" s="15">
        <v>1851</v>
      </c>
      <c r="F277" s="12" t="s">
        <v>691</v>
      </c>
      <c r="G277" s="18" t="s">
        <v>121</v>
      </c>
      <c r="H277" s="16">
        <v>39171020</v>
      </c>
      <c r="I277" s="17">
        <v>0.18</v>
      </c>
      <c r="J277" s="18" t="s">
        <v>2650</v>
      </c>
    </row>
    <row r="278" spans="1:10" ht="13" x14ac:dyDescent="0.3">
      <c r="A278" s="34" t="s">
        <v>695</v>
      </c>
      <c r="B278" s="12" t="s">
        <v>2694</v>
      </c>
      <c r="C278" s="22">
        <v>125</v>
      </c>
      <c r="D278" s="18">
        <v>1</v>
      </c>
      <c r="E278" s="15">
        <v>2470</v>
      </c>
      <c r="F278" s="12" t="s">
        <v>691</v>
      </c>
      <c r="G278" s="18" t="s">
        <v>121</v>
      </c>
      <c r="H278" s="16">
        <v>39171020</v>
      </c>
      <c r="I278" s="17">
        <v>0.18</v>
      </c>
      <c r="J278" s="18" t="s">
        <v>2650</v>
      </c>
    </row>
    <row r="279" spans="1:10" ht="13" x14ac:dyDescent="0.3">
      <c r="A279" s="34" t="s">
        <v>696</v>
      </c>
      <c r="B279" s="12" t="s">
        <v>2694</v>
      </c>
      <c r="C279" s="22">
        <v>160</v>
      </c>
      <c r="D279" s="18">
        <v>1</v>
      </c>
      <c r="E279" s="15">
        <v>3615</v>
      </c>
      <c r="F279" s="12" t="s">
        <v>691</v>
      </c>
      <c r="G279" s="18" t="s">
        <v>121</v>
      </c>
      <c r="H279" s="16">
        <v>39171020</v>
      </c>
      <c r="I279" s="17">
        <v>0.18</v>
      </c>
      <c r="J279" s="18" t="s">
        <v>2650</v>
      </c>
    </row>
    <row r="280" spans="1:10" ht="13" x14ac:dyDescent="0.3">
      <c r="A280" s="34" t="s">
        <v>697</v>
      </c>
      <c r="B280" s="12" t="s">
        <v>2694</v>
      </c>
      <c r="C280" s="22">
        <v>200</v>
      </c>
      <c r="D280" s="18">
        <v>1</v>
      </c>
      <c r="E280" s="15">
        <v>4456</v>
      </c>
      <c r="F280" s="12" t="s">
        <v>691</v>
      </c>
      <c r="G280" s="18" t="s">
        <v>121</v>
      </c>
      <c r="H280" s="16">
        <v>39171020</v>
      </c>
      <c r="I280" s="17">
        <v>0.18</v>
      </c>
      <c r="J280" s="18" t="s">
        <v>2650</v>
      </c>
    </row>
    <row r="281" spans="1:10" ht="13" x14ac:dyDescent="0.3">
      <c r="A281" s="34" t="s">
        <v>698</v>
      </c>
      <c r="B281" s="12" t="s">
        <v>2695</v>
      </c>
      <c r="C281" s="22">
        <v>40</v>
      </c>
      <c r="D281" s="18">
        <v>1</v>
      </c>
      <c r="E281" s="15">
        <v>731</v>
      </c>
      <c r="F281" s="12" t="s">
        <v>699</v>
      </c>
      <c r="G281" s="18" t="s">
        <v>121</v>
      </c>
      <c r="H281" s="16">
        <v>39171020</v>
      </c>
      <c r="I281" s="17">
        <v>0.18</v>
      </c>
      <c r="J281" s="18" t="s">
        <v>2650</v>
      </c>
    </row>
    <row r="282" spans="1:10" ht="13" x14ac:dyDescent="0.3">
      <c r="A282" s="34" t="s">
        <v>700</v>
      </c>
      <c r="B282" s="12" t="s">
        <v>2695</v>
      </c>
      <c r="C282" s="22">
        <v>50</v>
      </c>
      <c r="D282" s="18">
        <v>1</v>
      </c>
      <c r="E282" s="15">
        <v>936</v>
      </c>
      <c r="F282" s="12" t="s">
        <v>701</v>
      </c>
      <c r="G282" s="18" t="s">
        <v>121</v>
      </c>
      <c r="H282" s="16">
        <v>39171020</v>
      </c>
      <c r="I282" s="17">
        <v>0.18</v>
      </c>
      <c r="J282" s="18" t="s">
        <v>2650</v>
      </c>
    </row>
    <row r="283" spans="1:10" ht="13" x14ac:dyDescent="0.3">
      <c r="A283" s="34" t="s">
        <v>702</v>
      </c>
      <c r="B283" s="12" t="s">
        <v>2695</v>
      </c>
      <c r="C283" s="22">
        <v>75</v>
      </c>
      <c r="D283" s="18">
        <v>1</v>
      </c>
      <c r="E283" s="15">
        <v>1779</v>
      </c>
      <c r="F283" s="12" t="s">
        <v>701</v>
      </c>
      <c r="G283" s="18" t="s">
        <v>121</v>
      </c>
      <c r="H283" s="16">
        <v>39171020</v>
      </c>
      <c r="I283" s="17">
        <v>0.18</v>
      </c>
      <c r="J283" s="18" t="s">
        <v>2650</v>
      </c>
    </row>
    <row r="284" spans="1:10" ht="13" x14ac:dyDescent="0.3">
      <c r="A284" s="34" t="s">
        <v>703</v>
      </c>
      <c r="B284" s="12" t="s">
        <v>2695</v>
      </c>
      <c r="C284" s="22">
        <v>110</v>
      </c>
      <c r="D284" s="18">
        <v>1</v>
      </c>
      <c r="E284" s="15">
        <v>2402</v>
      </c>
      <c r="F284" s="12" t="s">
        <v>701</v>
      </c>
      <c r="G284" s="18" t="s">
        <v>121</v>
      </c>
      <c r="H284" s="16">
        <v>39171020</v>
      </c>
      <c r="I284" s="17">
        <v>0.18</v>
      </c>
      <c r="J284" s="18" t="s">
        <v>2650</v>
      </c>
    </row>
    <row r="285" spans="1:10" ht="13" x14ac:dyDescent="0.3">
      <c r="A285" s="34" t="s">
        <v>704</v>
      </c>
      <c r="B285" s="12" t="s">
        <v>2695</v>
      </c>
      <c r="C285" s="22">
        <v>125</v>
      </c>
      <c r="D285" s="18">
        <v>1</v>
      </c>
      <c r="E285" s="15">
        <v>2957</v>
      </c>
      <c r="F285" s="12" t="s">
        <v>701</v>
      </c>
      <c r="G285" s="18" t="s">
        <v>121</v>
      </c>
      <c r="H285" s="16">
        <v>39171020</v>
      </c>
      <c r="I285" s="17">
        <v>0.18</v>
      </c>
      <c r="J285" s="18" t="s">
        <v>2650</v>
      </c>
    </row>
    <row r="286" spans="1:10" ht="13" x14ac:dyDescent="0.3">
      <c r="A286" s="34" t="s">
        <v>705</v>
      </c>
      <c r="B286" s="12" t="s">
        <v>2695</v>
      </c>
      <c r="C286" s="22">
        <v>160</v>
      </c>
      <c r="D286" s="18">
        <v>1</v>
      </c>
      <c r="E286" s="15">
        <v>4680</v>
      </c>
      <c r="F286" s="12" t="s">
        <v>701</v>
      </c>
      <c r="G286" s="18" t="s">
        <v>121</v>
      </c>
      <c r="H286" s="16">
        <v>39171020</v>
      </c>
      <c r="I286" s="17">
        <v>0.18</v>
      </c>
      <c r="J286" s="18" t="s">
        <v>2650</v>
      </c>
    </row>
    <row r="287" spans="1:10" ht="13" x14ac:dyDescent="0.3">
      <c r="A287" s="34" t="s">
        <v>706</v>
      </c>
      <c r="B287" s="12" t="s">
        <v>2695</v>
      </c>
      <c r="C287" s="22">
        <v>200</v>
      </c>
      <c r="D287" s="18">
        <v>1</v>
      </c>
      <c r="E287" s="15">
        <v>5852</v>
      </c>
      <c r="F287" s="12" t="s">
        <v>701</v>
      </c>
      <c r="G287" s="18" t="s">
        <v>121</v>
      </c>
      <c r="H287" s="16">
        <v>39171020</v>
      </c>
      <c r="I287" s="17">
        <v>0.18</v>
      </c>
      <c r="J287" s="18" t="s">
        <v>2650</v>
      </c>
    </row>
    <row r="288" spans="1:10" ht="13" x14ac:dyDescent="0.3">
      <c r="A288" s="34">
        <v>7070000170</v>
      </c>
      <c r="B288" s="23" t="s">
        <v>2696</v>
      </c>
      <c r="C288" s="13">
        <v>32</v>
      </c>
      <c r="D288" s="18">
        <v>50</v>
      </c>
      <c r="E288" s="15">
        <v>62</v>
      </c>
      <c r="F288" s="23" t="s">
        <v>64</v>
      </c>
      <c r="G288" s="18" t="s">
        <v>122</v>
      </c>
      <c r="H288" s="16">
        <v>39174000</v>
      </c>
      <c r="I288" s="17">
        <v>0.18</v>
      </c>
      <c r="J288" s="18" t="s">
        <v>2651</v>
      </c>
    </row>
    <row r="289" spans="1:10" ht="13" x14ac:dyDescent="0.3">
      <c r="A289" s="34">
        <v>7070010170</v>
      </c>
      <c r="B289" s="23" t="s">
        <v>2696</v>
      </c>
      <c r="C289" s="13">
        <v>40</v>
      </c>
      <c r="D289" s="18">
        <v>40</v>
      </c>
      <c r="E289" s="15">
        <v>82</v>
      </c>
      <c r="F289" s="23" t="s">
        <v>64</v>
      </c>
      <c r="G289" s="18" t="s">
        <v>122</v>
      </c>
      <c r="H289" s="16">
        <v>39174000</v>
      </c>
      <c r="I289" s="17">
        <v>0.18</v>
      </c>
      <c r="J289" s="18" t="s">
        <v>2651</v>
      </c>
    </row>
    <row r="290" spans="1:10" ht="13" x14ac:dyDescent="0.3">
      <c r="A290" s="34">
        <v>7070020170</v>
      </c>
      <c r="B290" s="23" t="s">
        <v>2696</v>
      </c>
      <c r="C290" s="13">
        <v>50</v>
      </c>
      <c r="D290" s="18">
        <v>40</v>
      </c>
      <c r="E290" s="15">
        <v>102</v>
      </c>
      <c r="F290" s="23" t="s">
        <v>64</v>
      </c>
      <c r="G290" s="18" t="s">
        <v>122</v>
      </c>
      <c r="H290" s="16">
        <v>39174000</v>
      </c>
      <c r="I290" s="17">
        <v>0.18</v>
      </c>
      <c r="J290" s="18" t="s">
        <v>2651</v>
      </c>
    </row>
    <row r="291" spans="1:10" ht="13" x14ac:dyDescent="0.3">
      <c r="A291" s="34">
        <v>7070030170</v>
      </c>
      <c r="B291" s="23" t="s">
        <v>2696</v>
      </c>
      <c r="C291" s="13">
        <v>75</v>
      </c>
      <c r="D291" s="18">
        <v>20</v>
      </c>
      <c r="E291" s="15">
        <v>184</v>
      </c>
      <c r="F291" s="23" t="s">
        <v>64</v>
      </c>
      <c r="G291" s="18" t="s">
        <v>122</v>
      </c>
      <c r="H291" s="16">
        <v>39174000</v>
      </c>
      <c r="I291" s="17">
        <v>0.18</v>
      </c>
      <c r="J291" s="18" t="s">
        <v>2651</v>
      </c>
    </row>
    <row r="292" spans="1:10" ht="13" x14ac:dyDescent="0.3">
      <c r="A292" s="34">
        <v>7070040170</v>
      </c>
      <c r="B292" s="23" t="s">
        <v>2696</v>
      </c>
      <c r="C292" s="13">
        <v>110</v>
      </c>
      <c r="D292" s="18">
        <v>20</v>
      </c>
      <c r="E292" s="15">
        <v>699</v>
      </c>
      <c r="F292" s="23" t="s">
        <v>64</v>
      </c>
      <c r="G292" s="18" t="s">
        <v>122</v>
      </c>
      <c r="H292" s="16">
        <v>39174000</v>
      </c>
      <c r="I292" s="17">
        <v>0.18</v>
      </c>
      <c r="J292" s="18" t="s">
        <v>2651</v>
      </c>
    </row>
    <row r="293" spans="1:10" ht="13" x14ac:dyDescent="0.3">
      <c r="A293" s="34">
        <v>7070050170</v>
      </c>
      <c r="B293" s="23" t="s">
        <v>2696</v>
      </c>
      <c r="C293" s="13">
        <v>125</v>
      </c>
      <c r="D293" s="18">
        <v>10</v>
      </c>
      <c r="E293" s="15">
        <v>694</v>
      </c>
      <c r="F293" s="23" t="s">
        <v>64</v>
      </c>
      <c r="G293" s="18" t="s">
        <v>122</v>
      </c>
      <c r="H293" s="16">
        <v>39174000</v>
      </c>
      <c r="I293" s="17">
        <v>0.18</v>
      </c>
      <c r="J293" s="18" t="s">
        <v>2651</v>
      </c>
    </row>
    <row r="294" spans="1:10" ht="13" x14ac:dyDescent="0.3">
      <c r="A294" s="34">
        <v>7070060170</v>
      </c>
      <c r="B294" s="23" t="s">
        <v>2696</v>
      </c>
      <c r="C294" s="13">
        <v>160</v>
      </c>
      <c r="D294" s="94">
        <v>5</v>
      </c>
      <c r="E294" s="15">
        <v>1358</v>
      </c>
      <c r="F294" s="23" t="s">
        <v>64</v>
      </c>
      <c r="G294" s="18" t="s">
        <v>122</v>
      </c>
      <c r="H294" s="16">
        <v>39174000</v>
      </c>
      <c r="I294" s="17">
        <v>0.18</v>
      </c>
      <c r="J294" s="18" t="s">
        <v>2651</v>
      </c>
    </row>
    <row r="295" spans="1:10" ht="13" x14ac:dyDescent="0.3">
      <c r="A295" s="34">
        <v>7070000370</v>
      </c>
      <c r="B295" s="23" t="s">
        <v>2697</v>
      </c>
      <c r="C295" s="13">
        <v>32</v>
      </c>
      <c r="D295" s="18">
        <v>50</v>
      </c>
      <c r="E295" s="15">
        <v>82</v>
      </c>
      <c r="F295" s="23" t="s">
        <v>65</v>
      </c>
      <c r="G295" s="18" t="s">
        <v>122</v>
      </c>
      <c r="H295" s="16">
        <v>39174000</v>
      </c>
      <c r="I295" s="17">
        <v>0.18</v>
      </c>
      <c r="J295" s="18" t="s">
        <v>2651</v>
      </c>
    </row>
    <row r="296" spans="1:10" ht="13" x14ac:dyDescent="0.3">
      <c r="A296" s="34">
        <v>7070010370</v>
      </c>
      <c r="B296" s="23" t="s">
        <v>2697</v>
      </c>
      <c r="C296" s="13">
        <v>40</v>
      </c>
      <c r="D296" s="18">
        <v>40</v>
      </c>
      <c r="E296" s="15">
        <v>102</v>
      </c>
      <c r="F296" s="23" t="s">
        <v>65</v>
      </c>
      <c r="G296" s="18" t="s">
        <v>122</v>
      </c>
      <c r="H296" s="16">
        <v>39174000</v>
      </c>
      <c r="I296" s="17">
        <v>0.18</v>
      </c>
      <c r="J296" s="18" t="s">
        <v>2651</v>
      </c>
    </row>
    <row r="297" spans="1:10" ht="13" x14ac:dyDescent="0.3">
      <c r="A297" s="34">
        <v>7070020370</v>
      </c>
      <c r="B297" s="23" t="s">
        <v>2697</v>
      </c>
      <c r="C297" s="13">
        <v>50</v>
      </c>
      <c r="D297" s="18">
        <v>40</v>
      </c>
      <c r="E297" s="15">
        <v>102</v>
      </c>
      <c r="F297" s="23" t="s">
        <v>65</v>
      </c>
      <c r="G297" s="18" t="s">
        <v>122</v>
      </c>
      <c r="H297" s="16">
        <v>39174000</v>
      </c>
      <c r="I297" s="17">
        <v>0.18</v>
      </c>
      <c r="J297" s="18" t="s">
        <v>2651</v>
      </c>
    </row>
    <row r="298" spans="1:10" ht="13" x14ac:dyDescent="0.3">
      <c r="A298" s="34">
        <v>7070030370</v>
      </c>
      <c r="B298" s="23" t="s">
        <v>2697</v>
      </c>
      <c r="C298" s="13">
        <v>75</v>
      </c>
      <c r="D298" s="18">
        <v>20</v>
      </c>
      <c r="E298" s="15">
        <v>206</v>
      </c>
      <c r="F298" s="23" t="s">
        <v>65</v>
      </c>
      <c r="G298" s="18" t="s">
        <v>122</v>
      </c>
      <c r="H298" s="16">
        <v>39174000</v>
      </c>
      <c r="I298" s="17">
        <v>0.18</v>
      </c>
      <c r="J298" s="18" t="s">
        <v>2651</v>
      </c>
    </row>
    <row r="299" spans="1:10" ht="13" x14ac:dyDescent="0.3">
      <c r="A299" s="34">
        <v>7070040370</v>
      </c>
      <c r="B299" s="23" t="s">
        <v>2697</v>
      </c>
      <c r="C299" s="13">
        <v>110</v>
      </c>
      <c r="D299" s="18">
        <v>20</v>
      </c>
      <c r="E299" s="15">
        <v>728</v>
      </c>
      <c r="F299" s="23" t="s">
        <v>65</v>
      </c>
      <c r="G299" s="18" t="s">
        <v>122</v>
      </c>
      <c r="H299" s="16">
        <v>39174000</v>
      </c>
      <c r="I299" s="17">
        <v>0.18</v>
      </c>
      <c r="J299" s="18" t="s">
        <v>2651</v>
      </c>
    </row>
    <row r="300" spans="1:10" ht="13" x14ac:dyDescent="0.3">
      <c r="A300" s="34">
        <v>7070050370</v>
      </c>
      <c r="B300" s="23" t="s">
        <v>2697</v>
      </c>
      <c r="C300" s="13">
        <v>125</v>
      </c>
      <c r="D300" s="18">
        <v>10</v>
      </c>
      <c r="E300" s="15">
        <v>838</v>
      </c>
      <c r="F300" s="23" t="s">
        <v>65</v>
      </c>
      <c r="G300" s="18" t="s">
        <v>122</v>
      </c>
      <c r="H300" s="16">
        <v>39174000</v>
      </c>
      <c r="I300" s="17">
        <v>0.18</v>
      </c>
      <c r="J300" s="18" t="s">
        <v>2651</v>
      </c>
    </row>
    <row r="301" spans="1:10" ht="13" x14ac:dyDescent="0.3">
      <c r="A301" s="34">
        <v>7070060370</v>
      </c>
      <c r="B301" s="23" t="s">
        <v>2697</v>
      </c>
      <c r="C301" s="13">
        <v>160</v>
      </c>
      <c r="D301" s="18">
        <v>5</v>
      </c>
      <c r="E301" s="15">
        <v>1330</v>
      </c>
      <c r="F301" s="23" t="s">
        <v>65</v>
      </c>
      <c r="G301" s="18" t="s">
        <v>122</v>
      </c>
      <c r="H301" s="16">
        <v>39174000</v>
      </c>
      <c r="I301" s="17">
        <v>0.18</v>
      </c>
      <c r="J301" s="18" t="s">
        <v>2651</v>
      </c>
    </row>
    <row r="302" spans="1:10" ht="13" x14ac:dyDescent="0.3">
      <c r="A302" s="34">
        <v>7070000470</v>
      </c>
      <c r="B302" s="23" t="s">
        <v>2698</v>
      </c>
      <c r="C302" s="13">
        <v>32</v>
      </c>
      <c r="D302" s="18">
        <v>40</v>
      </c>
      <c r="E302" s="15">
        <v>62</v>
      </c>
      <c r="F302" s="23" t="s">
        <v>66</v>
      </c>
      <c r="G302" s="18" t="s">
        <v>122</v>
      </c>
      <c r="H302" s="16">
        <v>39174000</v>
      </c>
      <c r="I302" s="17">
        <v>0.18</v>
      </c>
      <c r="J302" s="18" t="s">
        <v>2651</v>
      </c>
    </row>
    <row r="303" spans="1:10" ht="13" x14ac:dyDescent="0.3">
      <c r="A303" s="34">
        <v>7070010470</v>
      </c>
      <c r="B303" s="23" t="s">
        <v>2698</v>
      </c>
      <c r="C303" s="13">
        <v>40</v>
      </c>
      <c r="D303" s="18">
        <v>40</v>
      </c>
      <c r="E303" s="15">
        <v>82</v>
      </c>
      <c r="F303" s="23" t="s">
        <v>66</v>
      </c>
      <c r="G303" s="18" t="s">
        <v>122</v>
      </c>
      <c r="H303" s="16">
        <v>39174000</v>
      </c>
      <c r="I303" s="17">
        <v>0.18</v>
      </c>
      <c r="J303" s="18" t="s">
        <v>2651</v>
      </c>
    </row>
    <row r="304" spans="1:10" ht="13" x14ac:dyDescent="0.3">
      <c r="A304" s="34">
        <v>7070020470</v>
      </c>
      <c r="B304" s="23" t="s">
        <v>2698</v>
      </c>
      <c r="C304" s="13">
        <v>50</v>
      </c>
      <c r="D304" s="18">
        <v>40</v>
      </c>
      <c r="E304" s="15">
        <v>123</v>
      </c>
      <c r="F304" s="23" t="s">
        <v>66</v>
      </c>
      <c r="G304" s="18" t="s">
        <v>122</v>
      </c>
      <c r="H304" s="16">
        <v>39174000</v>
      </c>
      <c r="I304" s="17">
        <v>0.18</v>
      </c>
      <c r="J304" s="18" t="s">
        <v>2651</v>
      </c>
    </row>
    <row r="305" spans="1:10" ht="13" x14ac:dyDescent="0.3">
      <c r="A305" s="34" t="s">
        <v>2699</v>
      </c>
      <c r="B305" s="23" t="s">
        <v>2698</v>
      </c>
      <c r="C305" s="13">
        <v>75</v>
      </c>
      <c r="D305" s="18">
        <v>20</v>
      </c>
      <c r="E305" s="15">
        <v>206</v>
      </c>
      <c r="F305" s="23" t="s">
        <v>66</v>
      </c>
      <c r="G305" s="18" t="s">
        <v>122</v>
      </c>
      <c r="H305" s="16">
        <v>39174000</v>
      </c>
      <c r="I305" s="17">
        <v>0.18</v>
      </c>
      <c r="J305" s="18" t="s">
        <v>2651</v>
      </c>
    </row>
    <row r="306" spans="1:10" ht="13" x14ac:dyDescent="0.3">
      <c r="A306" s="34" t="s">
        <v>2673</v>
      </c>
      <c r="B306" s="23" t="s">
        <v>2698</v>
      </c>
      <c r="C306" s="13">
        <v>110</v>
      </c>
      <c r="D306" s="18">
        <v>20</v>
      </c>
      <c r="E306" s="15">
        <v>641</v>
      </c>
      <c r="F306" s="23" t="s">
        <v>66</v>
      </c>
      <c r="G306" s="18" t="s">
        <v>122</v>
      </c>
      <c r="H306" s="16">
        <v>39174000</v>
      </c>
      <c r="I306" s="17">
        <v>0.18</v>
      </c>
      <c r="J306" s="18" t="s">
        <v>2651</v>
      </c>
    </row>
    <row r="307" spans="1:10" ht="13" x14ac:dyDescent="0.3">
      <c r="A307" s="34">
        <v>7070050470</v>
      </c>
      <c r="B307" s="23" t="s">
        <v>2698</v>
      </c>
      <c r="C307" s="13">
        <v>125</v>
      </c>
      <c r="D307" s="18">
        <v>10</v>
      </c>
      <c r="E307" s="15">
        <v>899</v>
      </c>
      <c r="F307" s="23" t="s">
        <v>66</v>
      </c>
      <c r="G307" s="18" t="s">
        <v>122</v>
      </c>
      <c r="H307" s="16">
        <v>39174000</v>
      </c>
      <c r="I307" s="17">
        <v>0.18</v>
      </c>
      <c r="J307" s="18" t="s">
        <v>2651</v>
      </c>
    </row>
    <row r="308" spans="1:10" ht="13" x14ac:dyDescent="0.3">
      <c r="A308" s="34">
        <v>7070060470</v>
      </c>
      <c r="B308" s="23" t="s">
        <v>2698</v>
      </c>
      <c r="C308" s="13">
        <v>160</v>
      </c>
      <c r="D308" s="18">
        <v>5</v>
      </c>
      <c r="E308" s="15">
        <v>1203</v>
      </c>
      <c r="F308" s="23" t="s">
        <v>66</v>
      </c>
      <c r="G308" s="18" t="s">
        <v>122</v>
      </c>
      <c r="H308" s="16">
        <v>39174000</v>
      </c>
      <c r="I308" s="17">
        <v>0.18</v>
      </c>
      <c r="J308" s="18" t="s">
        <v>2651</v>
      </c>
    </row>
    <row r="309" spans="1:10" ht="13" x14ac:dyDescent="0.3">
      <c r="A309" s="34">
        <v>7070080470</v>
      </c>
      <c r="B309" s="23" t="s">
        <v>2698</v>
      </c>
      <c r="C309" s="13">
        <v>200</v>
      </c>
      <c r="D309" s="18">
        <v>3</v>
      </c>
      <c r="E309" s="15">
        <v>3494</v>
      </c>
      <c r="F309" s="23" t="s">
        <v>66</v>
      </c>
      <c r="G309" s="18" t="s">
        <v>122</v>
      </c>
      <c r="H309" s="16">
        <v>39174000</v>
      </c>
      <c r="I309" s="17">
        <v>0.18</v>
      </c>
      <c r="J309" s="18" t="s">
        <v>2651</v>
      </c>
    </row>
    <row r="310" spans="1:10" ht="13" x14ac:dyDescent="0.3">
      <c r="A310" s="34">
        <v>7070000670</v>
      </c>
      <c r="B310" s="23" t="s">
        <v>2700</v>
      </c>
      <c r="C310" s="13">
        <v>32</v>
      </c>
      <c r="D310" s="18">
        <v>40</v>
      </c>
      <c r="E310" s="15">
        <v>62</v>
      </c>
      <c r="F310" s="23" t="s">
        <v>67</v>
      </c>
      <c r="G310" s="18" t="s">
        <v>122</v>
      </c>
      <c r="H310" s="16">
        <v>39174000</v>
      </c>
      <c r="I310" s="17">
        <v>0.18</v>
      </c>
      <c r="J310" s="18" t="s">
        <v>2651</v>
      </c>
    </row>
    <row r="311" spans="1:10" ht="13" x14ac:dyDescent="0.3">
      <c r="A311" s="34">
        <v>7070010670</v>
      </c>
      <c r="B311" s="23" t="s">
        <v>2700</v>
      </c>
      <c r="C311" s="13">
        <v>40</v>
      </c>
      <c r="D311" s="18">
        <v>40</v>
      </c>
      <c r="E311" s="15">
        <v>62</v>
      </c>
      <c r="F311" s="23" t="s">
        <v>67</v>
      </c>
      <c r="G311" s="18" t="s">
        <v>122</v>
      </c>
      <c r="H311" s="16">
        <v>39174000</v>
      </c>
      <c r="I311" s="17">
        <v>0.18</v>
      </c>
      <c r="J311" s="18" t="s">
        <v>2651</v>
      </c>
    </row>
    <row r="312" spans="1:10" ht="13" x14ac:dyDescent="0.3">
      <c r="A312" s="34">
        <v>7070020670</v>
      </c>
      <c r="B312" s="23" t="s">
        <v>2700</v>
      </c>
      <c r="C312" s="13">
        <v>50</v>
      </c>
      <c r="D312" s="18">
        <v>40</v>
      </c>
      <c r="E312" s="15">
        <v>82</v>
      </c>
      <c r="F312" s="23" t="s">
        <v>67</v>
      </c>
      <c r="G312" s="18" t="s">
        <v>122</v>
      </c>
      <c r="H312" s="16">
        <v>39174000</v>
      </c>
      <c r="I312" s="17">
        <v>0.18</v>
      </c>
      <c r="J312" s="18" t="s">
        <v>2651</v>
      </c>
    </row>
    <row r="313" spans="1:10" ht="13" x14ac:dyDescent="0.3">
      <c r="A313" s="34">
        <v>7070030670</v>
      </c>
      <c r="B313" s="23" t="s">
        <v>2700</v>
      </c>
      <c r="C313" s="13">
        <v>75</v>
      </c>
      <c r="D313" s="18">
        <v>20</v>
      </c>
      <c r="E313" s="15">
        <v>123</v>
      </c>
      <c r="F313" s="23" t="s">
        <v>67</v>
      </c>
      <c r="G313" s="18" t="s">
        <v>122</v>
      </c>
      <c r="H313" s="16">
        <v>39174000</v>
      </c>
      <c r="I313" s="17">
        <v>0.18</v>
      </c>
      <c r="J313" s="18" t="s">
        <v>2651</v>
      </c>
    </row>
    <row r="314" spans="1:10" ht="13" x14ac:dyDescent="0.3">
      <c r="A314" s="34">
        <v>7070040670</v>
      </c>
      <c r="B314" s="23" t="s">
        <v>2700</v>
      </c>
      <c r="C314" s="13">
        <v>110</v>
      </c>
      <c r="D314" s="18">
        <v>20</v>
      </c>
      <c r="E314" s="15">
        <v>633</v>
      </c>
      <c r="F314" s="23" t="s">
        <v>67</v>
      </c>
      <c r="G314" s="18" t="s">
        <v>122</v>
      </c>
      <c r="H314" s="16">
        <v>39174000</v>
      </c>
      <c r="I314" s="17">
        <v>0.18</v>
      </c>
      <c r="J314" s="18" t="s">
        <v>2651</v>
      </c>
    </row>
    <row r="315" spans="1:10" ht="13" x14ac:dyDescent="0.3">
      <c r="A315" s="34">
        <v>7070050670</v>
      </c>
      <c r="B315" s="23" t="s">
        <v>2700</v>
      </c>
      <c r="C315" s="13">
        <v>125</v>
      </c>
      <c r="D315" s="18">
        <v>10</v>
      </c>
      <c r="E315" s="15">
        <v>644</v>
      </c>
      <c r="F315" s="23" t="s">
        <v>67</v>
      </c>
      <c r="G315" s="18" t="s">
        <v>122</v>
      </c>
      <c r="H315" s="16">
        <v>39174000</v>
      </c>
      <c r="I315" s="17">
        <v>0.18</v>
      </c>
      <c r="J315" s="18" t="s">
        <v>2651</v>
      </c>
    </row>
    <row r="316" spans="1:10" ht="13" x14ac:dyDescent="0.3">
      <c r="A316" s="34">
        <v>7070000870</v>
      </c>
      <c r="B316" s="23" t="s">
        <v>2701</v>
      </c>
      <c r="C316" s="13">
        <v>32</v>
      </c>
      <c r="D316" s="18">
        <v>40</v>
      </c>
      <c r="E316" s="15">
        <v>62</v>
      </c>
      <c r="F316" s="23" t="s">
        <v>68</v>
      </c>
      <c r="G316" s="18" t="s">
        <v>122</v>
      </c>
      <c r="H316" s="16">
        <v>39174000</v>
      </c>
      <c r="I316" s="17">
        <v>0.18</v>
      </c>
      <c r="J316" s="18" t="s">
        <v>2651</v>
      </c>
    </row>
    <row r="317" spans="1:10" ht="13" x14ac:dyDescent="0.3">
      <c r="A317" s="34">
        <v>7070010870</v>
      </c>
      <c r="B317" s="23" t="s">
        <v>2701</v>
      </c>
      <c r="C317" s="13">
        <v>40</v>
      </c>
      <c r="D317" s="18">
        <v>40</v>
      </c>
      <c r="E317" s="15">
        <v>102</v>
      </c>
      <c r="F317" s="23" t="s">
        <v>68</v>
      </c>
      <c r="G317" s="18" t="s">
        <v>122</v>
      </c>
      <c r="H317" s="16">
        <v>39174000</v>
      </c>
      <c r="I317" s="17">
        <v>0.18</v>
      </c>
      <c r="J317" s="18" t="s">
        <v>2651</v>
      </c>
    </row>
    <row r="318" spans="1:10" ht="13" x14ac:dyDescent="0.3">
      <c r="A318" s="34" t="s">
        <v>2680</v>
      </c>
      <c r="B318" s="23" t="s">
        <v>2701</v>
      </c>
      <c r="C318" s="13">
        <v>50</v>
      </c>
      <c r="D318" s="18">
        <v>35</v>
      </c>
      <c r="E318" s="15">
        <v>143</v>
      </c>
      <c r="F318" s="23" t="s">
        <v>68</v>
      </c>
      <c r="G318" s="18" t="s">
        <v>122</v>
      </c>
      <c r="H318" s="16">
        <v>39174000</v>
      </c>
      <c r="I318" s="17">
        <v>0.18</v>
      </c>
      <c r="J318" s="18" t="s">
        <v>2651</v>
      </c>
    </row>
    <row r="319" spans="1:10" ht="13" x14ac:dyDescent="0.3">
      <c r="A319" s="34">
        <v>7070030870</v>
      </c>
      <c r="B319" s="23" t="s">
        <v>2701</v>
      </c>
      <c r="C319" s="13">
        <v>75</v>
      </c>
      <c r="D319" s="18">
        <v>20</v>
      </c>
      <c r="E319" s="15">
        <v>225</v>
      </c>
      <c r="F319" s="23" t="s">
        <v>68</v>
      </c>
      <c r="G319" s="18" t="s">
        <v>122</v>
      </c>
      <c r="H319" s="16">
        <v>39174000</v>
      </c>
      <c r="I319" s="17">
        <v>0.18</v>
      </c>
      <c r="J319" s="18" t="s">
        <v>2651</v>
      </c>
    </row>
    <row r="320" spans="1:10" ht="13" x14ac:dyDescent="0.3">
      <c r="A320" s="34">
        <v>7070040870</v>
      </c>
      <c r="B320" s="23" t="s">
        <v>2701</v>
      </c>
      <c r="C320" s="13">
        <v>110</v>
      </c>
      <c r="D320" s="18">
        <v>20</v>
      </c>
      <c r="E320" s="15">
        <v>698</v>
      </c>
      <c r="F320" s="23" t="s">
        <v>68</v>
      </c>
      <c r="G320" s="18" t="s">
        <v>122</v>
      </c>
      <c r="H320" s="16">
        <v>39174000</v>
      </c>
      <c r="I320" s="17">
        <v>0.18</v>
      </c>
      <c r="J320" s="18" t="s">
        <v>2651</v>
      </c>
    </row>
    <row r="321" spans="1:10" ht="13" x14ac:dyDescent="0.3">
      <c r="A321" s="34">
        <v>7070050870</v>
      </c>
      <c r="B321" s="23" t="s">
        <v>2701</v>
      </c>
      <c r="C321" s="13">
        <v>125</v>
      </c>
      <c r="D321" s="18">
        <v>10</v>
      </c>
      <c r="E321" s="15">
        <v>1062</v>
      </c>
      <c r="F321" s="23" t="s">
        <v>68</v>
      </c>
      <c r="G321" s="18" t="s">
        <v>122</v>
      </c>
      <c r="H321" s="16">
        <v>39174000</v>
      </c>
      <c r="I321" s="17">
        <v>0.18</v>
      </c>
      <c r="J321" s="18" t="s">
        <v>2651</v>
      </c>
    </row>
    <row r="322" spans="1:10" ht="13" x14ac:dyDescent="0.3">
      <c r="A322" s="34">
        <v>7070060870</v>
      </c>
      <c r="B322" s="23" t="s">
        <v>2701</v>
      </c>
      <c r="C322" s="13">
        <v>160</v>
      </c>
      <c r="D322" s="18">
        <v>5</v>
      </c>
      <c r="E322" s="15">
        <v>2122</v>
      </c>
      <c r="F322" s="23" t="s">
        <v>68</v>
      </c>
      <c r="G322" s="18" t="s">
        <v>122</v>
      </c>
      <c r="H322" s="16">
        <v>39174000</v>
      </c>
      <c r="I322" s="17">
        <v>0.18</v>
      </c>
      <c r="J322" s="18" t="s">
        <v>2651</v>
      </c>
    </row>
    <row r="323" spans="1:10" ht="13" x14ac:dyDescent="0.3">
      <c r="A323" s="34" t="s">
        <v>2644</v>
      </c>
      <c r="B323" s="23" t="s">
        <v>2702</v>
      </c>
      <c r="C323" s="13">
        <v>110</v>
      </c>
      <c r="D323" s="18">
        <v>18</v>
      </c>
      <c r="E323" s="15">
        <v>1054</v>
      </c>
      <c r="F323" s="23" t="s">
        <v>2645</v>
      </c>
      <c r="G323" s="18" t="s">
        <v>122</v>
      </c>
      <c r="H323" s="16">
        <v>39174000</v>
      </c>
      <c r="I323" s="17">
        <v>0.18</v>
      </c>
      <c r="J323" s="18" t="s">
        <v>2651</v>
      </c>
    </row>
    <row r="324" spans="1:10" ht="13" x14ac:dyDescent="0.3">
      <c r="A324" s="34">
        <v>7070600470</v>
      </c>
      <c r="B324" s="23" t="s">
        <v>2703</v>
      </c>
      <c r="C324" s="13" t="s">
        <v>70</v>
      </c>
      <c r="D324" s="18">
        <v>30</v>
      </c>
      <c r="E324" s="15">
        <v>195</v>
      </c>
      <c r="F324" s="23" t="s">
        <v>69</v>
      </c>
      <c r="G324" s="18" t="s">
        <v>122</v>
      </c>
      <c r="H324" s="16">
        <v>39174000</v>
      </c>
      <c r="I324" s="17">
        <v>0.18</v>
      </c>
      <c r="J324" s="18" t="s">
        <v>2651</v>
      </c>
    </row>
    <row r="325" spans="1:10" ht="13" x14ac:dyDescent="0.3">
      <c r="A325" s="34">
        <v>7070611470</v>
      </c>
      <c r="B325" s="23" t="s">
        <v>2703</v>
      </c>
      <c r="C325" s="13" t="s">
        <v>71</v>
      </c>
      <c r="D325" s="18">
        <v>20</v>
      </c>
      <c r="E325" s="15">
        <v>274</v>
      </c>
      <c r="F325" s="23" t="s">
        <v>69</v>
      </c>
      <c r="G325" s="18" t="s">
        <v>122</v>
      </c>
      <c r="H325" s="16">
        <v>39174000</v>
      </c>
      <c r="I325" s="17">
        <v>0.18</v>
      </c>
      <c r="J325" s="18" t="s">
        <v>2651</v>
      </c>
    </row>
    <row r="326" spans="1:10" ht="13" x14ac:dyDescent="0.3">
      <c r="A326" s="34">
        <v>7070621470</v>
      </c>
      <c r="B326" s="23" t="s">
        <v>2703</v>
      </c>
      <c r="C326" s="13" t="s">
        <v>73</v>
      </c>
      <c r="D326" s="18">
        <v>20</v>
      </c>
      <c r="E326" s="15">
        <v>352</v>
      </c>
      <c r="F326" s="23" t="s">
        <v>72</v>
      </c>
      <c r="G326" s="18" t="s">
        <v>122</v>
      </c>
      <c r="H326" s="16">
        <v>39174000</v>
      </c>
      <c r="I326" s="17">
        <v>0.18</v>
      </c>
      <c r="J326" s="18" t="s">
        <v>2651</v>
      </c>
    </row>
    <row r="327" spans="1:10" ht="13" x14ac:dyDescent="0.3">
      <c r="A327" s="34">
        <v>7070622470</v>
      </c>
      <c r="B327" s="23" t="s">
        <v>2703</v>
      </c>
      <c r="C327" s="13" t="s">
        <v>74</v>
      </c>
      <c r="D327" s="18">
        <v>20</v>
      </c>
      <c r="E327" s="15">
        <v>390</v>
      </c>
      <c r="F327" s="23" t="s">
        <v>69</v>
      </c>
      <c r="G327" s="18" t="s">
        <v>122</v>
      </c>
      <c r="H327" s="16">
        <v>39174000</v>
      </c>
      <c r="I327" s="17">
        <v>0.18</v>
      </c>
      <c r="J327" s="18" t="s">
        <v>2651</v>
      </c>
    </row>
    <row r="328" spans="1:10" ht="13" x14ac:dyDescent="0.3">
      <c r="A328" s="34">
        <v>7070632470</v>
      </c>
      <c r="B328" s="23" t="s">
        <v>2703</v>
      </c>
      <c r="C328" s="13" t="s">
        <v>76</v>
      </c>
      <c r="D328" s="18">
        <v>20</v>
      </c>
      <c r="E328" s="15">
        <v>524</v>
      </c>
      <c r="F328" s="23" t="s">
        <v>75</v>
      </c>
      <c r="G328" s="18" t="s">
        <v>122</v>
      </c>
      <c r="H328" s="16">
        <v>39174000</v>
      </c>
      <c r="I328" s="17">
        <v>0.18</v>
      </c>
      <c r="J328" s="18" t="s">
        <v>2651</v>
      </c>
    </row>
    <row r="329" spans="1:10" ht="13" x14ac:dyDescent="0.3">
      <c r="A329" s="34">
        <v>7070633470</v>
      </c>
      <c r="B329" s="23" t="s">
        <v>2703</v>
      </c>
      <c r="C329" s="13" t="s">
        <v>78</v>
      </c>
      <c r="D329" s="18">
        <v>20</v>
      </c>
      <c r="E329" s="15">
        <v>699</v>
      </c>
      <c r="F329" s="23" t="s">
        <v>77</v>
      </c>
      <c r="G329" s="18" t="s">
        <v>122</v>
      </c>
      <c r="H329" s="16">
        <v>39174000</v>
      </c>
      <c r="I329" s="17">
        <v>0.18</v>
      </c>
      <c r="J329" s="18" t="s">
        <v>2651</v>
      </c>
    </row>
    <row r="330" spans="1:10" ht="13" x14ac:dyDescent="0.3">
      <c r="A330" s="34">
        <v>7070642470</v>
      </c>
      <c r="B330" s="23" t="s">
        <v>2703</v>
      </c>
      <c r="C330" s="13" t="s">
        <v>79</v>
      </c>
      <c r="D330" s="18">
        <v>10</v>
      </c>
      <c r="E330" s="15">
        <v>640</v>
      </c>
      <c r="F330" s="23" t="s">
        <v>75</v>
      </c>
      <c r="G330" s="18" t="s">
        <v>122</v>
      </c>
      <c r="H330" s="16">
        <v>39174000</v>
      </c>
      <c r="I330" s="17">
        <v>0.18</v>
      </c>
      <c r="J330" s="18" t="s">
        <v>2651</v>
      </c>
    </row>
    <row r="331" spans="1:10" ht="13" x14ac:dyDescent="0.3">
      <c r="A331" s="34" t="s">
        <v>2704</v>
      </c>
      <c r="B331" s="23" t="s">
        <v>2703</v>
      </c>
      <c r="C331" s="13" t="s">
        <v>80</v>
      </c>
      <c r="D331" s="18">
        <v>10</v>
      </c>
      <c r="E331" s="15">
        <v>959</v>
      </c>
      <c r="F331" s="23" t="s">
        <v>75</v>
      </c>
      <c r="G331" s="18" t="s">
        <v>122</v>
      </c>
      <c r="H331" s="16">
        <v>39174000</v>
      </c>
      <c r="I331" s="17">
        <v>0.18</v>
      </c>
      <c r="J331" s="18" t="s">
        <v>2651</v>
      </c>
    </row>
    <row r="332" spans="1:10" ht="13" x14ac:dyDescent="0.3">
      <c r="A332" s="34" t="s">
        <v>2705</v>
      </c>
      <c r="B332" s="23" t="s">
        <v>2703</v>
      </c>
      <c r="C332" s="13" t="s">
        <v>82</v>
      </c>
      <c r="D332" s="18">
        <v>8</v>
      </c>
      <c r="E332" s="15">
        <v>1184</v>
      </c>
      <c r="F332" s="23" t="s">
        <v>81</v>
      </c>
      <c r="G332" s="18" t="s">
        <v>122</v>
      </c>
      <c r="H332" s="16">
        <v>39174000</v>
      </c>
      <c r="I332" s="17">
        <v>0.18</v>
      </c>
      <c r="J332" s="18" t="s">
        <v>2651</v>
      </c>
    </row>
    <row r="333" spans="1:10" ht="13" x14ac:dyDescent="0.3">
      <c r="A333" s="34">
        <v>7070654470</v>
      </c>
      <c r="B333" s="23" t="s">
        <v>2703</v>
      </c>
      <c r="C333" s="13" t="s">
        <v>84</v>
      </c>
      <c r="D333" s="18">
        <v>8</v>
      </c>
      <c r="E333" s="15">
        <v>1490</v>
      </c>
      <c r="F333" s="23" t="s">
        <v>83</v>
      </c>
      <c r="G333" s="18" t="s">
        <v>122</v>
      </c>
      <c r="H333" s="16">
        <v>39174000</v>
      </c>
      <c r="I333" s="17">
        <v>0.18</v>
      </c>
      <c r="J333" s="18" t="s">
        <v>2651</v>
      </c>
    </row>
    <row r="334" spans="1:10" ht="13" x14ac:dyDescent="0.3">
      <c r="A334" s="34">
        <v>7070655470</v>
      </c>
      <c r="B334" s="23" t="s">
        <v>2703</v>
      </c>
      <c r="C334" s="13" t="s">
        <v>85</v>
      </c>
      <c r="D334" s="18">
        <v>6</v>
      </c>
      <c r="E334" s="15">
        <v>1755</v>
      </c>
      <c r="F334" s="23" t="s">
        <v>77</v>
      </c>
      <c r="G334" s="18" t="s">
        <v>122</v>
      </c>
      <c r="H334" s="16">
        <v>39174000</v>
      </c>
      <c r="I334" s="17">
        <v>0.18</v>
      </c>
      <c r="J334" s="18" t="s">
        <v>2651</v>
      </c>
    </row>
    <row r="335" spans="1:10" ht="13" x14ac:dyDescent="0.3">
      <c r="A335" s="34">
        <v>7070664470</v>
      </c>
      <c r="B335" s="23" t="s">
        <v>2703</v>
      </c>
      <c r="C335" s="13" t="s">
        <v>86</v>
      </c>
      <c r="D335" s="18">
        <v>5</v>
      </c>
      <c r="E335" s="15">
        <v>2673</v>
      </c>
      <c r="F335" s="23" t="s">
        <v>83</v>
      </c>
      <c r="G335" s="18" t="s">
        <v>122</v>
      </c>
      <c r="H335" s="16">
        <v>39174000</v>
      </c>
      <c r="I335" s="17">
        <v>0.18</v>
      </c>
      <c r="J335" s="18" t="s">
        <v>2651</v>
      </c>
    </row>
    <row r="336" spans="1:10" ht="13" x14ac:dyDescent="0.3">
      <c r="A336" s="34">
        <v>7070666470</v>
      </c>
      <c r="B336" s="23" t="s">
        <v>2703</v>
      </c>
      <c r="C336" s="13" t="s">
        <v>87</v>
      </c>
      <c r="D336" s="18">
        <v>3</v>
      </c>
      <c r="E336" s="15">
        <v>3653</v>
      </c>
      <c r="F336" s="23" t="s">
        <v>69</v>
      </c>
      <c r="G336" s="18" t="s">
        <v>122</v>
      </c>
      <c r="H336" s="16">
        <v>39174000</v>
      </c>
      <c r="I336" s="17">
        <v>0.18</v>
      </c>
      <c r="J336" s="18" t="s">
        <v>2651</v>
      </c>
    </row>
    <row r="337" spans="1:10" ht="13" x14ac:dyDescent="0.3">
      <c r="A337" s="34">
        <v>7070686470</v>
      </c>
      <c r="B337" s="23" t="s">
        <v>2703</v>
      </c>
      <c r="C337" s="13" t="s">
        <v>88</v>
      </c>
      <c r="D337" s="18">
        <v>2</v>
      </c>
      <c r="E337" s="15">
        <v>6777</v>
      </c>
      <c r="F337" s="23" t="s">
        <v>83</v>
      </c>
      <c r="G337" s="18" t="s">
        <v>122</v>
      </c>
      <c r="H337" s="16">
        <v>39174000</v>
      </c>
      <c r="I337" s="17">
        <v>0.18</v>
      </c>
      <c r="J337" s="18" t="s">
        <v>2651</v>
      </c>
    </row>
    <row r="338" spans="1:10" ht="13" x14ac:dyDescent="0.3">
      <c r="A338" s="34">
        <v>7070688470</v>
      </c>
      <c r="B338" s="23" t="s">
        <v>2703</v>
      </c>
      <c r="C338" s="13" t="s">
        <v>89</v>
      </c>
      <c r="D338" s="18">
        <v>4</v>
      </c>
      <c r="E338" s="15">
        <v>7529</v>
      </c>
      <c r="F338" s="23" t="s">
        <v>77</v>
      </c>
      <c r="G338" s="18" t="s">
        <v>122</v>
      </c>
      <c r="H338" s="16">
        <v>39174000</v>
      </c>
      <c r="I338" s="17">
        <v>0.18</v>
      </c>
      <c r="J338" s="18" t="s">
        <v>2651</v>
      </c>
    </row>
    <row r="339" spans="1:10" ht="13" x14ac:dyDescent="0.3">
      <c r="A339" s="34">
        <v>7070611870</v>
      </c>
      <c r="B339" s="23" t="s">
        <v>2706</v>
      </c>
      <c r="C339" s="13" t="s">
        <v>71</v>
      </c>
      <c r="D339" s="18">
        <v>20</v>
      </c>
      <c r="E339" s="15">
        <v>312</v>
      </c>
      <c r="F339" s="23" t="s">
        <v>90</v>
      </c>
      <c r="G339" s="18" t="s">
        <v>122</v>
      </c>
      <c r="H339" s="16">
        <v>39174000</v>
      </c>
      <c r="I339" s="17">
        <v>0.18</v>
      </c>
      <c r="J339" s="18" t="s">
        <v>2651</v>
      </c>
    </row>
    <row r="340" spans="1:10" ht="13" x14ac:dyDescent="0.3">
      <c r="A340" s="34">
        <v>7070621870</v>
      </c>
      <c r="B340" s="23" t="s">
        <v>2706</v>
      </c>
      <c r="C340" s="13" t="s">
        <v>73</v>
      </c>
      <c r="D340" s="18">
        <v>20</v>
      </c>
      <c r="E340" s="15">
        <v>352</v>
      </c>
      <c r="F340" s="23" t="s">
        <v>91</v>
      </c>
      <c r="G340" s="18" t="s">
        <v>122</v>
      </c>
      <c r="H340" s="16">
        <v>39174000</v>
      </c>
      <c r="I340" s="17">
        <v>0.18</v>
      </c>
      <c r="J340" s="18" t="s">
        <v>2651</v>
      </c>
    </row>
    <row r="341" spans="1:10" ht="13" x14ac:dyDescent="0.3">
      <c r="A341" s="34">
        <v>7070622870</v>
      </c>
      <c r="B341" s="23" t="s">
        <v>2706</v>
      </c>
      <c r="C341" s="13" t="s">
        <v>74</v>
      </c>
      <c r="D341" s="18">
        <v>20</v>
      </c>
      <c r="E341" s="15">
        <v>352</v>
      </c>
      <c r="F341" s="23" t="s">
        <v>92</v>
      </c>
      <c r="G341" s="18" t="s">
        <v>122</v>
      </c>
      <c r="H341" s="16">
        <v>39174000</v>
      </c>
      <c r="I341" s="17">
        <v>0.18</v>
      </c>
      <c r="J341" s="18" t="s">
        <v>2651</v>
      </c>
    </row>
    <row r="342" spans="1:10" ht="13" x14ac:dyDescent="0.3">
      <c r="A342" s="34">
        <v>7070632870</v>
      </c>
      <c r="B342" s="23" t="s">
        <v>2706</v>
      </c>
      <c r="C342" s="13" t="s">
        <v>76</v>
      </c>
      <c r="D342" s="18">
        <v>20</v>
      </c>
      <c r="E342" s="15">
        <v>554</v>
      </c>
      <c r="F342" s="23" t="s">
        <v>91</v>
      </c>
      <c r="G342" s="18" t="s">
        <v>122</v>
      </c>
      <c r="H342" s="16">
        <v>39174000</v>
      </c>
      <c r="I342" s="17">
        <v>0.18</v>
      </c>
      <c r="J342" s="18" t="s">
        <v>2651</v>
      </c>
    </row>
    <row r="343" spans="1:10" ht="13" x14ac:dyDescent="0.3">
      <c r="A343" s="34">
        <v>7070633870</v>
      </c>
      <c r="B343" s="23" t="s">
        <v>2706</v>
      </c>
      <c r="C343" s="13" t="s">
        <v>78</v>
      </c>
      <c r="D343" s="18">
        <v>20</v>
      </c>
      <c r="E343" s="15">
        <v>782</v>
      </c>
      <c r="F343" s="23" t="s">
        <v>92</v>
      </c>
      <c r="G343" s="18" t="s">
        <v>122</v>
      </c>
      <c r="H343" s="16">
        <v>39174000</v>
      </c>
      <c r="I343" s="17">
        <v>0.18</v>
      </c>
      <c r="J343" s="18" t="s">
        <v>2651</v>
      </c>
    </row>
    <row r="344" spans="1:10" ht="13" x14ac:dyDescent="0.3">
      <c r="A344" s="34">
        <v>7070642870</v>
      </c>
      <c r="B344" s="23" t="s">
        <v>2706</v>
      </c>
      <c r="C344" s="13" t="s">
        <v>79</v>
      </c>
      <c r="D344" s="18">
        <v>10</v>
      </c>
      <c r="E344" s="15">
        <v>898</v>
      </c>
      <c r="F344" s="23" t="s">
        <v>91</v>
      </c>
      <c r="G344" s="18" t="s">
        <v>122</v>
      </c>
      <c r="H344" s="16">
        <v>39174000</v>
      </c>
      <c r="I344" s="17">
        <v>0.18</v>
      </c>
      <c r="J344" s="18" t="s">
        <v>2651</v>
      </c>
    </row>
    <row r="345" spans="1:10" ht="13" x14ac:dyDescent="0.3">
      <c r="A345" s="34">
        <v>7070666870</v>
      </c>
      <c r="B345" s="23" t="s">
        <v>2706</v>
      </c>
      <c r="C345" s="13" t="s">
        <v>87</v>
      </c>
      <c r="D345" s="18">
        <v>4</v>
      </c>
      <c r="E345" s="15">
        <v>3123</v>
      </c>
      <c r="F345" s="23" t="s">
        <v>92</v>
      </c>
      <c r="G345" s="18" t="s">
        <v>122</v>
      </c>
      <c r="H345" s="16">
        <v>39174000</v>
      </c>
      <c r="I345" s="17">
        <v>0.18</v>
      </c>
      <c r="J345" s="18" t="s">
        <v>2651</v>
      </c>
    </row>
    <row r="346" spans="1:10" ht="13" x14ac:dyDescent="0.3">
      <c r="A346" s="34">
        <v>7070744870</v>
      </c>
      <c r="B346" s="23" t="s">
        <v>2707</v>
      </c>
      <c r="C346" s="13" t="s">
        <v>82</v>
      </c>
      <c r="D346" s="18">
        <v>10</v>
      </c>
      <c r="E346" s="15">
        <v>1082</v>
      </c>
      <c r="F346" s="23" t="s">
        <v>93</v>
      </c>
      <c r="G346" s="18" t="s">
        <v>122</v>
      </c>
      <c r="H346" s="16">
        <v>39174000</v>
      </c>
      <c r="I346" s="17">
        <v>0.18</v>
      </c>
      <c r="J346" s="18" t="s">
        <v>2651</v>
      </c>
    </row>
    <row r="347" spans="1:10" ht="13" x14ac:dyDescent="0.3">
      <c r="A347" s="34">
        <v>7070743870</v>
      </c>
      <c r="B347" s="23" t="s">
        <v>2707</v>
      </c>
      <c r="C347" s="13" t="s">
        <v>80</v>
      </c>
      <c r="D347" s="18">
        <v>10</v>
      </c>
      <c r="E347" s="15">
        <v>939</v>
      </c>
      <c r="F347" s="23" t="s">
        <v>95</v>
      </c>
      <c r="G347" s="18" t="s">
        <v>122</v>
      </c>
      <c r="H347" s="16">
        <v>39174000</v>
      </c>
      <c r="I347" s="17">
        <v>0.18</v>
      </c>
      <c r="J347" s="18" t="s">
        <v>2651</v>
      </c>
    </row>
    <row r="348" spans="1:10" ht="13" x14ac:dyDescent="0.3">
      <c r="A348" s="34">
        <v>7070754870</v>
      </c>
      <c r="B348" s="23" t="s">
        <v>2707</v>
      </c>
      <c r="C348" s="13" t="s">
        <v>84</v>
      </c>
      <c r="D348" s="18">
        <v>6</v>
      </c>
      <c r="E348" s="15">
        <v>1062</v>
      </c>
      <c r="F348" s="23" t="s">
        <v>93</v>
      </c>
      <c r="G348" s="18" t="s">
        <v>122</v>
      </c>
      <c r="H348" s="16">
        <v>39174000</v>
      </c>
      <c r="I348" s="17">
        <v>0.18</v>
      </c>
      <c r="J348" s="18" t="s">
        <v>2651</v>
      </c>
    </row>
    <row r="349" spans="1:10" ht="13" x14ac:dyDescent="0.3">
      <c r="A349" s="34">
        <v>7070764870</v>
      </c>
      <c r="B349" s="23" t="s">
        <v>2707</v>
      </c>
      <c r="C349" s="13" t="s">
        <v>86</v>
      </c>
      <c r="D349" s="18">
        <v>4</v>
      </c>
      <c r="E349" s="15">
        <v>2367</v>
      </c>
      <c r="F349" s="23" t="s">
        <v>95</v>
      </c>
      <c r="G349" s="18" t="s">
        <v>122</v>
      </c>
      <c r="H349" s="16">
        <v>39174000</v>
      </c>
      <c r="I349" s="17">
        <v>0.18</v>
      </c>
      <c r="J349" s="18" t="s">
        <v>2651</v>
      </c>
    </row>
    <row r="350" spans="1:10" ht="13" x14ac:dyDescent="0.3">
      <c r="A350" s="34">
        <v>7070744877</v>
      </c>
      <c r="B350" s="23" t="s">
        <v>2708</v>
      </c>
      <c r="C350" s="13" t="s">
        <v>82</v>
      </c>
      <c r="D350" s="18">
        <v>7</v>
      </c>
      <c r="E350" s="15">
        <v>1342</v>
      </c>
      <c r="F350" s="23" t="s">
        <v>95</v>
      </c>
      <c r="G350" s="18" t="s">
        <v>122</v>
      </c>
      <c r="H350" s="16">
        <v>39174000</v>
      </c>
      <c r="I350" s="17">
        <v>0.18</v>
      </c>
      <c r="J350" s="18" t="s">
        <v>2651</v>
      </c>
    </row>
    <row r="351" spans="1:10" ht="13" x14ac:dyDescent="0.3">
      <c r="A351" s="34" t="s">
        <v>2643</v>
      </c>
      <c r="B351" s="23" t="s">
        <v>2708</v>
      </c>
      <c r="C351" s="13" t="s">
        <v>84</v>
      </c>
      <c r="D351" s="18">
        <v>6</v>
      </c>
      <c r="E351" s="15">
        <v>1740</v>
      </c>
      <c r="F351" s="23" t="s">
        <v>95</v>
      </c>
      <c r="G351" s="18" t="s">
        <v>122</v>
      </c>
      <c r="H351" s="16">
        <v>39174000</v>
      </c>
      <c r="I351" s="17">
        <v>0.18</v>
      </c>
      <c r="J351" s="18" t="s">
        <v>2651</v>
      </c>
    </row>
    <row r="352" spans="1:10" ht="13" x14ac:dyDescent="0.3">
      <c r="A352" s="34" t="s">
        <v>2477</v>
      </c>
      <c r="B352" s="23" t="s">
        <v>2708</v>
      </c>
      <c r="C352" s="13" t="s">
        <v>86</v>
      </c>
      <c r="D352" s="18">
        <v>4</v>
      </c>
      <c r="E352" s="15">
        <v>2752</v>
      </c>
      <c r="F352" s="23" t="s">
        <v>97</v>
      </c>
      <c r="G352" s="18" t="s">
        <v>122</v>
      </c>
      <c r="H352" s="16">
        <v>39174000</v>
      </c>
      <c r="I352" s="17">
        <v>0.18</v>
      </c>
      <c r="J352" s="18" t="s">
        <v>2651</v>
      </c>
    </row>
    <row r="353" spans="1:10" ht="13" x14ac:dyDescent="0.3">
      <c r="A353" s="34">
        <v>7071044870</v>
      </c>
      <c r="B353" s="23" t="s">
        <v>2709</v>
      </c>
      <c r="C353" s="13" t="s">
        <v>98</v>
      </c>
      <c r="D353" s="18">
        <v>6</v>
      </c>
      <c r="E353" s="15">
        <v>2970</v>
      </c>
      <c r="F353" s="23" t="s">
        <v>97</v>
      </c>
      <c r="G353" s="18" t="s">
        <v>122</v>
      </c>
      <c r="H353" s="16">
        <v>39174000</v>
      </c>
      <c r="I353" s="17">
        <v>0.18</v>
      </c>
      <c r="J353" s="18" t="s">
        <v>2651</v>
      </c>
    </row>
    <row r="354" spans="1:10" ht="13" x14ac:dyDescent="0.3">
      <c r="A354" s="34">
        <v>7071244870</v>
      </c>
      <c r="B354" s="23" t="s">
        <v>2710</v>
      </c>
      <c r="C354" s="13" t="s">
        <v>98</v>
      </c>
      <c r="D354" s="18">
        <v>6</v>
      </c>
      <c r="E354" s="15">
        <v>1285</v>
      </c>
      <c r="F354" s="23" t="s">
        <v>99</v>
      </c>
      <c r="G354" s="18" t="s">
        <v>122</v>
      </c>
      <c r="H354" s="16">
        <v>39174000</v>
      </c>
      <c r="I354" s="17">
        <v>0.18</v>
      </c>
      <c r="J354" s="18" t="s">
        <v>2651</v>
      </c>
    </row>
    <row r="355" spans="1:10" ht="13" x14ac:dyDescent="0.3">
      <c r="A355" s="34">
        <v>7071254870</v>
      </c>
      <c r="B355" s="23" t="s">
        <v>2710</v>
      </c>
      <c r="C355" s="13" t="s">
        <v>162</v>
      </c>
      <c r="D355" s="18">
        <v>5</v>
      </c>
      <c r="E355" s="15">
        <v>1489</v>
      </c>
      <c r="F355" s="23" t="s">
        <v>99</v>
      </c>
      <c r="G355" s="18" t="s">
        <v>122</v>
      </c>
      <c r="H355" s="16">
        <v>39174000</v>
      </c>
      <c r="I355" s="17">
        <v>0.18</v>
      </c>
      <c r="J355" s="18" t="s">
        <v>2651</v>
      </c>
    </row>
    <row r="356" spans="1:10" ht="13" x14ac:dyDescent="0.3">
      <c r="A356" s="34">
        <v>7071042670</v>
      </c>
      <c r="B356" s="27" t="s">
        <v>2711</v>
      </c>
      <c r="C356" s="22" t="s">
        <v>101</v>
      </c>
      <c r="D356" s="18">
        <v>9</v>
      </c>
      <c r="E356" s="15">
        <v>1105</v>
      </c>
      <c r="F356" s="23" t="s">
        <v>100</v>
      </c>
      <c r="G356" s="18" t="s">
        <v>122</v>
      </c>
      <c r="H356" s="16">
        <v>39174000</v>
      </c>
      <c r="I356" s="17">
        <v>0.18</v>
      </c>
      <c r="J356" s="18" t="s">
        <v>2651</v>
      </c>
    </row>
    <row r="357" spans="1:10" ht="13" x14ac:dyDescent="0.3">
      <c r="A357" s="34">
        <v>7071044670</v>
      </c>
      <c r="B357" s="27" t="s">
        <v>2711</v>
      </c>
      <c r="C357" s="22" t="s">
        <v>98</v>
      </c>
      <c r="D357" s="18">
        <v>6</v>
      </c>
      <c r="E357" s="15">
        <v>1518</v>
      </c>
      <c r="F357" s="23" t="s">
        <v>100</v>
      </c>
      <c r="G357" s="18" t="s">
        <v>122</v>
      </c>
      <c r="H357" s="16">
        <v>39174000</v>
      </c>
      <c r="I357" s="17">
        <v>0.18</v>
      </c>
      <c r="J357" s="18" t="s">
        <v>2651</v>
      </c>
    </row>
    <row r="358" spans="1:10" ht="13" x14ac:dyDescent="0.3">
      <c r="A358" s="34" t="s">
        <v>2918</v>
      </c>
      <c r="B358" s="27" t="s">
        <v>2919</v>
      </c>
      <c r="C358" s="22" t="s">
        <v>162</v>
      </c>
      <c r="D358" s="18">
        <v>4</v>
      </c>
      <c r="E358" s="15">
        <v>3091</v>
      </c>
      <c r="F358" s="23" t="s">
        <v>100</v>
      </c>
      <c r="G358" s="18" t="s">
        <v>122</v>
      </c>
      <c r="H358" s="16">
        <v>39174000</v>
      </c>
      <c r="I358" s="17">
        <v>0.18</v>
      </c>
      <c r="J358" s="18" t="s">
        <v>2651</v>
      </c>
    </row>
    <row r="359" spans="1:10" ht="13" x14ac:dyDescent="0.3">
      <c r="A359" s="34">
        <v>7079120070</v>
      </c>
      <c r="B359" s="27" t="s">
        <v>2712</v>
      </c>
      <c r="C359" s="22">
        <v>50</v>
      </c>
      <c r="D359" s="18">
        <v>20</v>
      </c>
      <c r="E359" s="15">
        <v>350</v>
      </c>
      <c r="F359" s="23" t="s">
        <v>102</v>
      </c>
      <c r="G359" s="18" t="s">
        <v>122</v>
      </c>
      <c r="H359" s="16">
        <v>39174000</v>
      </c>
      <c r="I359" s="17">
        <v>0.18</v>
      </c>
      <c r="J359" s="18" t="s">
        <v>2651</v>
      </c>
    </row>
    <row r="360" spans="1:10" ht="13" x14ac:dyDescent="0.3">
      <c r="A360" s="34">
        <v>7079130070</v>
      </c>
      <c r="B360" s="27" t="s">
        <v>2712</v>
      </c>
      <c r="C360" s="22">
        <v>75</v>
      </c>
      <c r="D360" s="18">
        <v>25</v>
      </c>
      <c r="E360" s="15">
        <v>821</v>
      </c>
      <c r="F360" s="23" t="s">
        <v>102</v>
      </c>
      <c r="G360" s="18" t="s">
        <v>122</v>
      </c>
      <c r="H360" s="16">
        <v>39174000</v>
      </c>
      <c r="I360" s="17">
        <v>0.18</v>
      </c>
      <c r="J360" s="18" t="s">
        <v>2651</v>
      </c>
    </row>
    <row r="361" spans="1:10" ht="13" x14ac:dyDescent="0.3">
      <c r="A361" s="34">
        <v>7079140070</v>
      </c>
      <c r="B361" s="27" t="s">
        <v>2712</v>
      </c>
      <c r="C361" s="22">
        <v>110</v>
      </c>
      <c r="D361" s="18">
        <v>10</v>
      </c>
      <c r="E361" s="15">
        <v>1530</v>
      </c>
      <c r="F361" s="23" t="s">
        <v>102</v>
      </c>
      <c r="G361" s="18" t="s">
        <v>122</v>
      </c>
      <c r="H361" s="16">
        <v>39174000</v>
      </c>
      <c r="I361" s="17">
        <v>0.18</v>
      </c>
      <c r="J361" s="18" t="s">
        <v>2651</v>
      </c>
    </row>
    <row r="362" spans="1:10" ht="13" x14ac:dyDescent="0.3">
      <c r="A362" s="34">
        <v>7079150070</v>
      </c>
      <c r="B362" s="27" t="s">
        <v>2712</v>
      </c>
      <c r="C362" s="22">
        <v>125</v>
      </c>
      <c r="D362" s="18">
        <v>8</v>
      </c>
      <c r="E362" s="15">
        <v>1775</v>
      </c>
      <c r="F362" s="23" t="s">
        <v>102</v>
      </c>
      <c r="G362" s="18" t="s">
        <v>122</v>
      </c>
      <c r="H362" s="16">
        <v>39174000</v>
      </c>
      <c r="I362" s="17">
        <v>0.18</v>
      </c>
      <c r="J362" s="18" t="s">
        <v>2651</v>
      </c>
    </row>
    <row r="363" spans="1:10" ht="13" x14ac:dyDescent="0.3">
      <c r="A363" s="34">
        <v>7079160070</v>
      </c>
      <c r="B363" s="27" t="s">
        <v>2712</v>
      </c>
      <c r="C363" s="22">
        <v>160</v>
      </c>
      <c r="D363" s="18">
        <v>6</v>
      </c>
      <c r="E363" s="15">
        <v>1859</v>
      </c>
      <c r="F363" s="23" t="s">
        <v>102</v>
      </c>
      <c r="G363" s="18" t="s">
        <v>122</v>
      </c>
      <c r="H363" s="16">
        <v>39174000</v>
      </c>
      <c r="I363" s="17">
        <v>0.18</v>
      </c>
      <c r="J363" s="18" t="s">
        <v>2651</v>
      </c>
    </row>
    <row r="364" spans="1:10" ht="13" x14ac:dyDescent="0.3">
      <c r="A364" s="34">
        <v>7079180070</v>
      </c>
      <c r="B364" s="27" t="s">
        <v>2712</v>
      </c>
      <c r="C364" s="22">
        <v>200</v>
      </c>
      <c r="D364" s="18">
        <v>2</v>
      </c>
      <c r="E364" s="15">
        <v>5499</v>
      </c>
      <c r="F364" s="23" t="s">
        <v>102</v>
      </c>
      <c r="G364" s="18" t="s">
        <v>122</v>
      </c>
      <c r="H364" s="16">
        <v>39174000</v>
      </c>
      <c r="I364" s="17">
        <v>0.18</v>
      </c>
      <c r="J364" s="18" t="s">
        <v>2651</v>
      </c>
    </row>
    <row r="365" spans="1:10" ht="13" x14ac:dyDescent="0.3">
      <c r="A365" s="34">
        <v>7071710070</v>
      </c>
      <c r="B365" s="27" t="s">
        <v>2713</v>
      </c>
      <c r="C365" s="22">
        <v>40</v>
      </c>
      <c r="D365" s="18">
        <v>30</v>
      </c>
      <c r="E365" s="15">
        <v>350</v>
      </c>
      <c r="F365" s="27" t="s">
        <v>103</v>
      </c>
      <c r="G365" s="18" t="s">
        <v>122</v>
      </c>
      <c r="H365" s="16">
        <v>39174000</v>
      </c>
      <c r="I365" s="17">
        <v>0.18</v>
      </c>
      <c r="J365" s="18" t="s">
        <v>2651</v>
      </c>
    </row>
    <row r="366" spans="1:10" ht="13" x14ac:dyDescent="0.3">
      <c r="A366" s="34">
        <v>7071720070</v>
      </c>
      <c r="B366" s="27" t="s">
        <v>2713</v>
      </c>
      <c r="C366" s="22">
        <v>50</v>
      </c>
      <c r="D366" s="18">
        <v>20</v>
      </c>
      <c r="E366" s="15">
        <v>821</v>
      </c>
      <c r="F366" s="27" t="s">
        <v>103</v>
      </c>
      <c r="G366" s="18" t="s">
        <v>122</v>
      </c>
      <c r="H366" s="16">
        <v>39174000</v>
      </c>
      <c r="I366" s="17">
        <v>0.18</v>
      </c>
      <c r="J366" s="18" t="s">
        <v>2651</v>
      </c>
    </row>
    <row r="367" spans="1:10" ht="13" x14ac:dyDescent="0.3">
      <c r="A367" s="34">
        <v>7071730070</v>
      </c>
      <c r="B367" s="27" t="s">
        <v>2713</v>
      </c>
      <c r="C367" s="22">
        <v>75</v>
      </c>
      <c r="D367" s="18">
        <v>20</v>
      </c>
      <c r="E367" s="15">
        <v>898</v>
      </c>
      <c r="F367" s="27" t="s">
        <v>103</v>
      </c>
      <c r="G367" s="18" t="s">
        <v>122</v>
      </c>
      <c r="H367" s="16">
        <v>39174000</v>
      </c>
      <c r="I367" s="17">
        <v>0.18</v>
      </c>
      <c r="J367" s="18" t="s">
        <v>2651</v>
      </c>
    </row>
    <row r="368" spans="1:10" ht="13" x14ac:dyDescent="0.3">
      <c r="A368" s="34">
        <v>7071740070</v>
      </c>
      <c r="B368" s="27" t="s">
        <v>2713</v>
      </c>
      <c r="C368" s="22">
        <v>110</v>
      </c>
      <c r="D368" s="18">
        <v>20</v>
      </c>
      <c r="E368" s="15">
        <v>1775</v>
      </c>
      <c r="F368" s="27" t="s">
        <v>103</v>
      </c>
      <c r="G368" s="18" t="s">
        <v>122</v>
      </c>
      <c r="H368" s="16">
        <v>39174000</v>
      </c>
      <c r="I368" s="17">
        <v>0.18</v>
      </c>
      <c r="J368" s="18" t="s">
        <v>2651</v>
      </c>
    </row>
    <row r="369" spans="1:10" ht="13" x14ac:dyDescent="0.3">
      <c r="A369" s="34">
        <v>7071750070</v>
      </c>
      <c r="B369" s="27" t="s">
        <v>2713</v>
      </c>
      <c r="C369" s="22">
        <v>125</v>
      </c>
      <c r="D369" s="18">
        <v>10</v>
      </c>
      <c r="E369" s="15">
        <v>1913</v>
      </c>
      <c r="F369" s="27" t="s">
        <v>103</v>
      </c>
      <c r="G369" s="18" t="s">
        <v>122</v>
      </c>
      <c r="H369" s="16">
        <v>39174000</v>
      </c>
      <c r="I369" s="17">
        <v>0.18</v>
      </c>
      <c r="J369" s="18" t="s">
        <v>2651</v>
      </c>
    </row>
    <row r="370" spans="1:10" ht="13" x14ac:dyDescent="0.3">
      <c r="A370" s="34">
        <v>7071760070</v>
      </c>
      <c r="B370" s="27" t="s">
        <v>2713</v>
      </c>
      <c r="C370" s="22">
        <v>160</v>
      </c>
      <c r="D370" s="18">
        <v>12</v>
      </c>
      <c r="E370" s="15">
        <v>5499</v>
      </c>
      <c r="F370" s="27" t="s">
        <v>103</v>
      </c>
      <c r="G370" s="18" t="s">
        <v>122</v>
      </c>
      <c r="H370" s="16">
        <v>39174000</v>
      </c>
      <c r="I370" s="17">
        <v>0.18</v>
      </c>
      <c r="J370" s="18" t="s">
        <v>2651</v>
      </c>
    </row>
    <row r="371" spans="1:10" ht="13" x14ac:dyDescent="0.3">
      <c r="A371" s="34">
        <v>7071700270</v>
      </c>
      <c r="B371" s="27" t="s">
        <v>2714</v>
      </c>
      <c r="C371" s="22">
        <v>32</v>
      </c>
      <c r="D371" s="18">
        <v>30</v>
      </c>
      <c r="E371" s="15">
        <v>158</v>
      </c>
      <c r="F371" s="27" t="s">
        <v>104</v>
      </c>
      <c r="G371" s="18" t="s">
        <v>122</v>
      </c>
      <c r="H371" s="16">
        <v>39174000</v>
      </c>
      <c r="I371" s="17">
        <v>0.18</v>
      </c>
      <c r="J371" s="18" t="s">
        <v>2651</v>
      </c>
    </row>
    <row r="372" spans="1:10" ht="13" x14ac:dyDescent="0.3">
      <c r="A372" s="34">
        <v>7071710270</v>
      </c>
      <c r="B372" s="27" t="s">
        <v>2714</v>
      </c>
      <c r="C372" s="22">
        <v>40</v>
      </c>
      <c r="D372" s="18">
        <v>40</v>
      </c>
      <c r="E372" s="15">
        <v>194</v>
      </c>
      <c r="F372" s="27" t="s">
        <v>104</v>
      </c>
      <c r="G372" s="18" t="s">
        <v>122</v>
      </c>
      <c r="H372" s="16">
        <v>39174000</v>
      </c>
      <c r="I372" s="17">
        <v>0.18</v>
      </c>
      <c r="J372" s="18" t="s">
        <v>2651</v>
      </c>
    </row>
    <row r="373" spans="1:10" ht="13" x14ac:dyDescent="0.3">
      <c r="A373" s="34">
        <v>7071720275</v>
      </c>
      <c r="B373" s="27" t="s">
        <v>2715</v>
      </c>
      <c r="C373" s="22">
        <v>50</v>
      </c>
      <c r="D373" s="18">
        <v>20</v>
      </c>
      <c r="E373" s="15">
        <v>195</v>
      </c>
      <c r="F373" s="27" t="s">
        <v>104</v>
      </c>
      <c r="G373" s="18" t="s">
        <v>122</v>
      </c>
      <c r="H373" s="16">
        <v>39174000</v>
      </c>
      <c r="I373" s="17">
        <v>0.18</v>
      </c>
      <c r="J373" s="18" t="s">
        <v>2651</v>
      </c>
    </row>
    <row r="374" spans="1:10" ht="13" x14ac:dyDescent="0.3">
      <c r="A374" s="34" t="s">
        <v>2716</v>
      </c>
      <c r="B374" s="27" t="s">
        <v>2715</v>
      </c>
      <c r="C374" s="22">
        <v>75</v>
      </c>
      <c r="D374" s="18">
        <v>20</v>
      </c>
      <c r="E374" s="15">
        <v>352</v>
      </c>
      <c r="F374" s="27" t="s">
        <v>104</v>
      </c>
      <c r="G374" s="18" t="s">
        <v>122</v>
      </c>
      <c r="H374" s="16">
        <v>39174000</v>
      </c>
      <c r="I374" s="17">
        <v>0.18</v>
      </c>
      <c r="J374" s="18" t="s">
        <v>2651</v>
      </c>
    </row>
    <row r="375" spans="1:10" ht="13" x14ac:dyDescent="0.3">
      <c r="A375" s="34" t="s">
        <v>2717</v>
      </c>
      <c r="B375" s="27" t="s">
        <v>2715</v>
      </c>
      <c r="C375" s="22">
        <v>110</v>
      </c>
      <c r="D375" s="18">
        <v>20</v>
      </c>
      <c r="E375" s="15">
        <v>640</v>
      </c>
      <c r="F375" s="27" t="s">
        <v>104</v>
      </c>
      <c r="G375" s="18" t="s">
        <v>122</v>
      </c>
      <c r="H375" s="16">
        <v>39174000</v>
      </c>
      <c r="I375" s="17">
        <v>0.18</v>
      </c>
      <c r="J375" s="18" t="s">
        <v>2651</v>
      </c>
    </row>
    <row r="376" spans="1:10" ht="13" x14ac:dyDescent="0.3">
      <c r="A376" s="34">
        <v>7071750275</v>
      </c>
      <c r="B376" s="27" t="s">
        <v>2715</v>
      </c>
      <c r="C376" s="22">
        <v>125</v>
      </c>
      <c r="D376" s="18">
        <v>10</v>
      </c>
      <c r="E376" s="15">
        <v>879</v>
      </c>
      <c r="F376" s="27" t="s">
        <v>104</v>
      </c>
      <c r="G376" s="18" t="s">
        <v>122</v>
      </c>
      <c r="H376" s="16">
        <v>39174000</v>
      </c>
      <c r="I376" s="17">
        <v>0.18</v>
      </c>
      <c r="J376" s="18" t="s">
        <v>2651</v>
      </c>
    </row>
    <row r="377" spans="1:10" ht="13" x14ac:dyDescent="0.3">
      <c r="A377" s="34">
        <v>7071760275</v>
      </c>
      <c r="B377" s="27" t="s">
        <v>2715</v>
      </c>
      <c r="C377" s="22">
        <v>160</v>
      </c>
      <c r="D377" s="18">
        <v>12</v>
      </c>
      <c r="E377" s="15">
        <v>1718</v>
      </c>
      <c r="F377" s="27" t="s">
        <v>104</v>
      </c>
      <c r="G377" s="18" t="s">
        <v>122</v>
      </c>
      <c r="H377" s="16">
        <v>39174000</v>
      </c>
      <c r="I377" s="17">
        <v>0.18</v>
      </c>
      <c r="J377" s="18" t="s">
        <v>2651</v>
      </c>
    </row>
    <row r="378" spans="1:10" ht="13" x14ac:dyDescent="0.3">
      <c r="A378" s="34">
        <v>7071780275</v>
      </c>
      <c r="B378" s="27" t="s">
        <v>2715</v>
      </c>
      <c r="C378" s="22">
        <v>200</v>
      </c>
      <c r="D378" s="18">
        <v>2</v>
      </c>
      <c r="E378" s="15">
        <v>2595</v>
      </c>
      <c r="F378" s="27" t="s">
        <v>104</v>
      </c>
      <c r="G378" s="18" t="s">
        <v>122</v>
      </c>
      <c r="H378" s="16">
        <v>39174000</v>
      </c>
      <c r="I378" s="17">
        <v>0.18</v>
      </c>
      <c r="J378" s="18" t="s">
        <v>2651</v>
      </c>
    </row>
    <row r="379" spans="1:10" ht="13" x14ac:dyDescent="0.3">
      <c r="A379" s="34">
        <v>7072110070</v>
      </c>
      <c r="B379" s="23" t="s">
        <v>2718</v>
      </c>
      <c r="C379" s="22" t="s">
        <v>105</v>
      </c>
      <c r="D379" s="18">
        <v>30</v>
      </c>
      <c r="E379" s="15">
        <v>387</v>
      </c>
      <c r="F379" s="27" t="s">
        <v>707</v>
      </c>
      <c r="G379" s="18" t="s">
        <v>122</v>
      </c>
      <c r="H379" s="16">
        <v>39174000</v>
      </c>
      <c r="I379" s="17">
        <v>0.18</v>
      </c>
      <c r="J379" s="18" t="s">
        <v>2651</v>
      </c>
    </row>
    <row r="380" spans="1:10" ht="13" x14ac:dyDescent="0.3">
      <c r="A380" s="34">
        <v>7072120070</v>
      </c>
      <c r="B380" s="23" t="s">
        <v>2718</v>
      </c>
      <c r="C380" s="22" t="s">
        <v>106</v>
      </c>
      <c r="D380" s="18">
        <v>30</v>
      </c>
      <c r="E380" s="15">
        <v>392</v>
      </c>
      <c r="F380" s="27" t="s">
        <v>707</v>
      </c>
      <c r="G380" s="18" t="s">
        <v>122</v>
      </c>
      <c r="H380" s="16">
        <v>39174000</v>
      </c>
      <c r="I380" s="17">
        <v>0.18</v>
      </c>
      <c r="J380" s="18" t="s">
        <v>2651</v>
      </c>
    </row>
    <row r="381" spans="1:10" ht="13" x14ac:dyDescent="0.3">
      <c r="A381" s="34">
        <v>7072121070</v>
      </c>
      <c r="B381" s="23" t="s">
        <v>2718</v>
      </c>
      <c r="C381" s="22" t="s">
        <v>73</v>
      </c>
      <c r="D381" s="18">
        <v>30</v>
      </c>
      <c r="E381" s="15">
        <v>399</v>
      </c>
      <c r="F381" s="27" t="s">
        <v>707</v>
      </c>
      <c r="G381" s="18" t="s">
        <v>122</v>
      </c>
      <c r="H381" s="16">
        <v>39174000</v>
      </c>
      <c r="I381" s="17">
        <v>0.18</v>
      </c>
      <c r="J381" s="18" t="s">
        <v>2651</v>
      </c>
    </row>
    <row r="382" spans="1:10" ht="13" x14ac:dyDescent="0.3">
      <c r="A382" s="34">
        <v>7072132070</v>
      </c>
      <c r="B382" s="23" t="s">
        <v>2718</v>
      </c>
      <c r="C382" s="13" t="s">
        <v>76</v>
      </c>
      <c r="D382" s="18">
        <v>20</v>
      </c>
      <c r="E382" s="15">
        <v>426</v>
      </c>
      <c r="F382" s="27" t="s">
        <v>707</v>
      </c>
      <c r="G382" s="18" t="s">
        <v>122</v>
      </c>
      <c r="H382" s="16">
        <v>39174000</v>
      </c>
      <c r="I382" s="17">
        <v>0.18</v>
      </c>
      <c r="J382" s="18" t="s">
        <v>2651</v>
      </c>
    </row>
    <row r="383" spans="1:10" ht="13" x14ac:dyDescent="0.3">
      <c r="A383" s="34">
        <v>7072142070</v>
      </c>
      <c r="B383" s="23" t="s">
        <v>2718</v>
      </c>
      <c r="C383" s="13" t="s">
        <v>79</v>
      </c>
      <c r="D383" s="18">
        <v>20</v>
      </c>
      <c r="E383" s="15">
        <v>470</v>
      </c>
      <c r="F383" s="27" t="s">
        <v>707</v>
      </c>
      <c r="G383" s="18" t="s">
        <v>122</v>
      </c>
      <c r="H383" s="16">
        <v>39174000</v>
      </c>
      <c r="I383" s="17">
        <v>0.18</v>
      </c>
      <c r="J383" s="18" t="s">
        <v>2651</v>
      </c>
    </row>
    <row r="384" spans="1:10" ht="13" x14ac:dyDescent="0.3">
      <c r="A384" s="34">
        <v>7072143070</v>
      </c>
      <c r="B384" s="23" t="s">
        <v>2718</v>
      </c>
      <c r="C384" s="13" t="s">
        <v>80</v>
      </c>
      <c r="D384" s="18">
        <v>20</v>
      </c>
      <c r="E384" s="15">
        <v>491</v>
      </c>
      <c r="F384" s="27" t="s">
        <v>707</v>
      </c>
      <c r="G384" s="18" t="s">
        <v>122</v>
      </c>
      <c r="H384" s="16">
        <v>39174000</v>
      </c>
      <c r="I384" s="17">
        <v>0.18</v>
      </c>
      <c r="J384" s="18" t="s">
        <v>2651</v>
      </c>
    </row>
    <row r="385" spans="1:10" ht="13" x14ac:dyDescent="0.3">
      <c r="A385" s="34">
        <v>7072154070</v>
      </c>
      <c r="B385" s="23" t="s">
        <v>2718</v>
      </c>
      <c r="C385" s="22" t="s">
        <v>84</v>
      </c>
      <c r="D385" s="18">
        <v>10</v>
      </c>
      <c r="E385" s="15">
        <v>614</v>
      </c>
      <c r="F385" s="27" t="s">
        <v>707</v>
      </c>
      <c r="G385" s="18" t="s">
        <v>122</v>
      </c>
      <c r="H385" s="16">
        <v>39174000</v>
      </c>
      <c r="I385" s="17">
        <v>0.18</v>
      </c>
      <c r="J385" s="18" t="s">
        <v>2651</v>
      </c>
    </row>
    <row r="386" spans="1:10" ht="13" x14ac:dyDescent="0.3">
      <c r="A386" s="34">
        <v>7072164070</v>
      </c>
      <c r="B386" s="23" t="s">
        <v>2718</v>
      </c>
      <c r="C386" s="22" t="s">
        <v>86</v>
      </c>
      <c r="D386" s="18">
        <v>10</v>
      </c>
      <c r="E386" s="15">
        <v>1022</v>
      </c>
      <c r="F386" s="27" t="s">
        <v>707</v>
      </c>
      <c r="G386" s="18" t="s">
        <v>122</v>
      </c>
      <c r="H386" s="16">
        <v>39174000</v>
      </c>
      <c r="I386" s="17">
        <v>0.18</v>
      </c>
      <c r="J386" s="18" t="s">
        <v>2651</v>
      </c>
    </row>
    <row r="387" spans="1:10" ht="13" x14ac:dyDescent="0.3">
      <c r="A387" s="34">
        <v>7072165070</v>
      </c>
      <c r="B387" s="23" t="s">
        <v>2718</v>
      </c>
      <c r="C387" s="22" t="s">
        <v>107</v>
      </c>
      <c r="D387" s="18">
        <v>16</v>
      </c>
      <c r="E387" s="15">
        <v>1163</v>
      </c>
      <c r="F387" s="27" t="s">
        <v>707</v>
      </c>
      <c r="G387" s="18" t="s">
        <v>122</v>
      </c>
      <c r="H387" s="16">
        <v>39174000</v>
      </c>
      <c r="I387" s="17">
        <v>0.18</v>
      </c>
      <c r="J387" s="18" t="s">
        <v>2651</v>
      </c>
    </row>
    <row r="388" spans="1:10" ht="13" x14ac:dyDescent="0.3">
      <c r="A388" s="34">
        <v>7072186070</v>
      </c>
      <c r="B388" s="23" t="s">
        <v>2718</v>
      </c>
      <c r="C388" s="22" t="s">
        <v>88</v>
      </c>
      <c r="D388" s="18">
        <v>6</v>
      </c>
      <c r="E388" s="15">
        <v>2327</v>
      </c>
      <c r="F388" s="27" t="s">
        <v>707</v>
      </c>
      <c r="G388" s="18" t="s">
        <v>122</v>
      </c>
      <c r="H388" s="16">
        <v>39174000</v>
      </c>
      <c r="I388" s="17">
        <v>0.18</v>
      </c>
      <c r="J388" s="18" t="s">
        <v>2651</v>
      </c>
    </row>
    <row r="389" spans="1:10" ht="13" x14ac:dyDescent="0.3">
      <c r="A389" s="34" t="s">
        <v>2684</v>
      </c>
      <c r="B389" s="23" t="s">
        <v>2719</v>
      </c>
      <c r="C389" s="22" t="s">
        <v>80</v>
      </c>
      <c r="D389" s="18">
        <v>20</v>
      </c>
      <c r="E389" s="15">
        <v>510</v>
      </c>
      <c r="F389" s="27" t="s">
        <v>2674</v>
      </c>
      <c r="G389" s="18" t="s">
        <v>122</v>
      </c>
      <c r="H389" s="16">
        <v>39174000</v>
      </c>
      <c r="I389" s="17">
        <v>0.18</v>
      </c>
      <c r="J389" s="18" t="s">
        <v>2651</v>
      </c>
    </row>
    <row r="390" spans="1:10" ht="13" x14ac:dyDescent="0.3">
      <c r="A390" s="34">
        <v>7071610070</v>
      </c>
      <c r="B390" s="23" t="s">
        <v>2720</v>
      </c>
      <c r="C390" s="13">
        <v>40</v>
      </c>
      <c r="D390" s="18">
        <v>80</v>
      </c>
      <c r="E390" s="15">
        <v>40</v>
      </c>
      <c r="F390" s="27" t="s">
        <v>108</v>
      </c>
      <c r="G390" s="18" t="s">
        <v>122</v>
      </c>
      <c r="H390" s="16">
        <v>39174000</v>
      </c>
      <c r="I390" s="17">
        <v>0.18</v>
      </c>
      <c r="J390" s="18" t="s">
        <v>2651</v>
      </c>
    </row>
    <row r="391" spans="1:10" ht="13" x14ac:dyDescent="0.3">
      <c r="A391" s="34" t="s">
        <v>2721</v>
      </c>
      <c r="B391" s="23" t="s">
        <v>2720</v>
      </c>
      <c r="C391" s="22">
        <v>50</v>
      </c>
      <c r="D391" s="18">
        <v>70</v>
      </c>
      <c r="E391" s="15">
        <v>78</v>
      </c>
      <c r="F391" s="27" t="s">
        <v>108</v>
      </c>
      <c r="G391" s="18" t="s">
        <v>122</v>
      </c>
      <c r="H391" s="16">
        <v>39174000</v>
      </c>
      <c r="I391" s="17">
        <v>0.18</v>
      </c>
      <c r="J391" s="18" t="s">
        <v>2651</v>
      </c>
    </row>
    <row r="392" spans="1:10" ht="13" x14ac:dyDescent="0.3">
      <c r="A392" s="34">
        <v>7071630070</v>
      </c>
      <c r="B392" s="23" t="s">
        <v>2720</v>
      </c>
      <c r="C392" s="22">
        <v>75</v>
      </c>
      <c r="D392" s="18">
        <v>30</v>
      </c>
      <c r="E392" s="15">
        <v>158</v>
      </c>
      <c r="F392" s="27" t="s">
        <v>108</v>
      </c>
      <c r="G392" s="18" t="s">
        <v>122</v>
      </c>
      <c r="H392" s="16">
        <v>39174000</v>
      </c>
      <c r="I392" s="17">
        <v>0.18</v>
      </c>
      <c r="J392" s="18" t="s">
        <v>2651</v>
      </c>
    </row>
    <row r="393" spans="1:10" ht="13" x14ac:dyDescent="0.3">
      <c r="A393" s="34" t="s">
        <v>2722</v>
      </c>
      <c r="B393" s="23" t="s">
        <v>2720</v>
      </c>
      <c r="C393" s="14">
        <v>110</v>
      </c>
      <c r="D393" s="18">
        <v>20</v>
      </c>
      <c r="E393" s="15">
        <v>352</v>
      </c>
      <c r="F393" s="27" t="s">
        <v>108</v>
      </c>
      <c r="G393" s="18" t="s">
        <v>122</v>
      </c>
      <c r="H393" s="16">
        <v>39174000</v>
      </c>
      <c r="I393" s="17">
        <v>0.18</v>
      </c>
      <c r="J393" s="18" t="s">
        <v>2651</v>
      </c>
    </row>
    <row r="394" spans="1:10" ht="13" x14ac:dyDescent="0.3">
      <c r="A394" s="34">
        <v>7071650070</v>
      </c>
      <c r="B394" s="23" t="s">
        <v>2720</v>
      </c>
      <c r="C394" s="14">
        <v>125</v>
      </c>
      <c r="D394" s="18">
        <v>20</v>
      </c>
      <c r="E394" s="15">
        <v>758</v>
      </c>
      <c r="F394" s="27" t="s">
        <v>108</v>
      </c>
      <c r="G394" s="18" t="s">
        <v>122</v>
      </c>
      <c r="H394" s="16">
        <v>39174000</v>
      </c>
      <c r="I394" s="17">
        <v>0.18</v>
      </c>
      <c r="J394" s="18" t="s">
        <v>2651</v>
      </c>
    </row>
    <row r="395" spans="1:10" ht="13" x14ac:dyDescent="0.3">
      <c r="A395" s="34">
        <v>7071660070</v>
      </c>
      <c r="B395" s="23" t="s">
        <v>2720</v>
      </c>
      <c r="C395" s="14">
        <v>160</v>
      </c>
      <c r="D395" s="18">
        <v>20</v>
      </c>
      <c r="E395" s="15">
        <v>768</v>
      </c>
      <c r="F395" s="27" t="s">
        <v>108</v>
      </c>
      <c r="G395" s="18" t="s">
        <v>122</v>
      </c>
      <c r="H395" s="16">
        <v>39174000</v>
      </c>
      <c r="I395" s="17">
        <v>0.18</v>
      </c>
      <c r="J395" s="18" t="s">
        <v>2651</v>
      </c>
    </row>
    <row r="396" spans="1:10" ht="13" x14ac:dyDescent="0.3">
      <c r="A396" s="34">
        <v>7071680070</v>
      </c>
      <c r="B396" s="29" t="s">
        <v>2720</v>
      </c>
      <c r="C396" s="14">
        <v>200</v>
      </c>
      <c r="D396" s="18">
        <v>25</v>
      </c>
      <c r="E396" s="15">
        <v>1617</v>
      </c>
      <c r="F396" s="27" t="s">
        <v>108</v>
      </c>
      <c r="G396" s="18" t="s">
        <v>122</v>
      </c>
      <c r="H396" s="16">
        <v>39174000</v>
      </c>
      <c r="I396" s="17">
        <v>0.18</v>
      </c>
      <c r="J396" s="18" t="s">
        <v>2651</v>
      </c>
    </row>
    <row r="397" spans="1:10" ht="13" x14ac:dyDescent="0.3">
      <c r="A397" s="34">
        <v>7072330000</v>
      </c>
      <c r="B397" s="28" t="s">
        <v>2723</v>
      </c>
      <c r="C397" s="14">
        <v>75</v>
      </c>
      <c r="D397" s="18">
        <v>48</v>
      </c>
      <c r="E397" s="15">
        <v>435</v>
      </c>
      <c r="F397" s="23" t="s">
        <v>109</v>
      </c>
      <c r="G397" s="18" t="s">
        <v>109</v>
      </c>
      <c r="H397" s="16">
        <v>39174000</v>
      </c>
      <c r="I397" s="17">
        <v>0.18</v>
      </c>
      <c r="J397" s="18" t="s">
        <v>2651</v>
      </c>
    </row>
    <row r="398" spans="1:10" ht="13" x14ac:dyDescent="0.3">
      <c r="A398" s="34">
        <v>7072340000</v>
      </c>
      <c r="B398" s="28" t="s">
        <v>2723</v>
      </c>
      <c r="C398" s="14">
        <v>110</v>
      </c>
      <c r="D398" s="18">
        <v>30</v>
      </c>
      <c r="E398" s="15">
        <v>965</v>
      </c>
      <c r="F398" s="23" t="s">
        <v>109</v>
      </c>
      <c r="G398" s="18" t="s">
        <v>109</v>
      </c>
      <c r="H398" s="16">
        <v>39174000</v>
      </c>
      <c r="I398" s="17">
        <v>0.18</v>
      </c>
      <c r="J398" s="18" t="s">
        <v>2651</v>
      </c>
    </row>
    <row r="399" spans="1:10" ht="13" x14ac:dyDescent="0.3">
      <c r="A399" s="34">
        <v>7072350000</v>
      </c>
      <c r="B399" s="28" t="s">
        <v>2723</v>
      </c>
      <c r="C399" s="14">
        <v>125</v>
      </c>
      <c r="D399" s="18">
        <v>18</v>
      </c>
      <c r="E399" s="15">
        <v>1115</v>
      </c>
      <c r="F399" s="23" t="s">
        <v>109</v>
      </c>
      <c r="G399" s="18" t="s">
        <v>109</v>
      </c>
      <c r="H399" s="16">
        <v>39174000</v>
      </c>
      <c r="I399" s="17">
        <v>0.18</v>
      </c>
      <c r="J399" s="18" t="s">
        <v>2651</v>
      </c>
    </row>
    <row r="400" spans="1:10" ht="13" x14ac:dyDescent="0.3">
      <c r="A400" s="34">
        <v>7072360000</v>
      </c>
      <c r="B400" s="28" t="s">
        <v>2723</v>
      </c>
      <c r="C400" s="14">
        <v>160</v>
      </c>
      <c r="D400" s="18">
        <v>10</v>
      </c>
      <c r="E400" s="15">
        <v>1372</v>
      </c>
      <c r="F400" s="23" t="s">
        <v>109</v>
      </c>
      <c r="G400" s="18" t="s">
        <v>109</v>
      </c>
      <c r="H400" s="16">
        <v>39174000</v>
      </c>
      <c r="I400" s="17">
        <v>0.18</v>
      </c>
      <c r="J400" s="18" t="s">
        <v>2651</v>
      </c>
    </row>
    <row r="401" spans="1:10" ht="13" x14ac:dyDescent="0.3">
      <c r="A401" s="34">
        <v>7072380000</v>
      </c>
      <c r="B401" s="23" t="s">
        <v>2723</v>
      </c>
      <c r="C401" s="22">
        <v>200</v>
      </c>
      <c r="D401" s="18">
        <v>5</v>
      </c>
      <c r="E401" s="15">
        <v>6918</v>
      </c>
      <c r="F401" s="23" t="s">
        <v>109</v>
      </c>
      <c r="G401" s="18" t="s">
        <v>109</v>
      </c>
      <c r="H401" s="16">
        <v>39174000</v>
      </c>
      <c r="I401" s="17">
        <v>0.18</v>
      </c>
      <c r="J401" s="18" t="s">
        <v>2651</v>
      </c>
    </row>
    <row r="402" spans="1:10" ht="13" x14ac:dyDescent="0.3">
      <c r="A402" s="34">
        <v>7078004000</v>
      </c>
      <c r="B402" s="23" t="s">
        <v>2724</v>
      </c>
      <c r="C402" s="14">
        <v>110</v>
      </c>
      <c r="D402" s="18">
        <v>30</v>
      </c>
      <c r="E402" s="15">
        <v>1518</v>
      </c>
      <c r="F402" s="23" t="s">
        <v>110</v>
      </c>
      <c r="G402" s="18" t="s">
        <v>110</v>
      </c>
      <c r="H402" s="16">
        <v>39174000</v>
      </c>
      <c r="I402" s="17">
        <v>0.18</v>
      </c>
      <c r="J402" s="18" t="s">
        <v>2651</v>
      </c>
    </row>
    <row r="403" spans="1:10" ht="13" x14ac:dyDescent="0.3">
      <c r="A403" s="34">
        <v>7078005000</v>
      </c>
      <c r="B403" s="23" t="s">
        <v>2724</v>
      </c>
      <c r="C403" s="14">
        <v>125</v>
      </c>
      <c r="D403" s="18">
        <v>12</v>
      </c>
      <c r="E403" s="15">
        <v>1664</v>
      </c>
      <c r="F403" s="23" t="s">
        <v>110</v>
      </c>
      <c r="G403" s="18" t="s">
        <v>110</v>
      </c>
      <c r="H403" s="16">
        <v>39174000</v>
      </c>
      <c r="I403" s="17">
        <v>0.18</v>
      </c>
      <c r="J403" s="18" t="s">
        <v>2651</v>
      </c>
    </row>
    <row r="404" spans="1:10" ht="13" x14ac:dyDescent="0.3">
      <c r="A404" s="34">
        <v>7078006000</v>
      </c>
      <c r="B404" s="23" t="s">
        <v>2724</v>
      </c>
      <c r="C404" s="14">
        <v>160</v>
      </c>
      <c r="D404" s="18">
        <v>8</v>
      </c>
      <c r="E404" s="15">
        <v>1702</v>
      </c>
      <c r="F404" s="23" t="s">
        <v>110</v>
      </c>
      <c r="G404" s="18" t="s">
        <v>110</v>
      </c>
      <c r="H404" s="16">
        <v>39174000</v>
      </c>
      <c r="I404" s="17">
        <v>0.18</v>
      </c>
      <c r="J404" s="18" t="s">
        <v>2651</v>
      </c>
    </row>
    <row r="405" spans="1:10" ht="13" x14ac:dyDescent="0.3">
      <c r="A405" s="34">
        <v>7078008000</v>
      </c>
      <c r="B405" s="23" t="s">
        <v>2724</v>
      </c>
      <c r="C405" s="14">
        <v>200</v>
      </c>
      <c r="D405" s="18">
        <v>4</v>
      </c>
      <c r="E405" s="15">
        <v>9195</v>
      </c>
      <c r="F405" s="12" t="s">
        <v>111</v>
      </c>
      <c r="G405" s="18" t="s">
        <v>111</v>
      </c>
      <c r="H405" s="16">
        <v>39174000</v>
      </c>
      <c r="I405" s="17">
        <v>0.18</v>
      </c>
      <c r="J405" s="18" t="s">
        <v>2651</v>
      </c>
    </row>
    <row r="406" spans="1:10" ht="13" x14ac:dyDescent="0.3">
      <c r="A406" s="34">
        <v>41540020</v>
      </c>
      <c r="B406" s="23" t="s">
        <v>2725</v>
      </c>
      <c r="C406" s="13">
        <v>110</v>
      </c>
      <c r="D406" s="18">
        <v>12</v>
      </c>
      <c r="E406" s="15">
        <v>1558</v>
      </c>
      <c r="F406" s="12" t="s">
        <v>111</v>
      </c>
      <c r="G406" s="18" t="s">
        <v>111</v>
      </c>
      <c r="H406" s="16">
        <v>39174000</v>
      </c>
      <c r="I406" s="17">
        <v>0.18</v>
      </c>
      <c r="J406" s="18" t="s">
        <v>2651</v>
      </c>
    </row>
    <row r="407" spans="1:10" ht="13" x14ac:dyDescent="0.3">
      <c r="A407" s="34">
        <v>41540027</v>
      </c>
      <c r="B407" s="23" t="s">
        <v>2726</v>
      </c>
      <c r="C407" s="13">
        <v>110</v>
      </c>
      <c r="D407" s="18">
        <v>12</v>
      </c>
      <c r="E407" s="15">
        <v>1776</v>
      </c>
      <c r="F407" s="12" t="s">
        <v>111</v>
      </c>
      <c r="G407" s="18" t="s">
        <v>111</v>
      </c>
      <c r="H407" s="16">
        <v>39174000</v>
      </c>
      <c r="I407" s="17">
        <v>0.18</v>
      </c>
      <c r="J407" s="18" t="s">
        <v>2651</v>
      </c>
    </row>
    <row r="408" spans="1:10" ht="13" x14ac:dyDescent="0.3">
      <c r="A408" s="34">
        <v>41542866</v>
      </c>
      <c r="B408" s="23" t="s">
        <v>2727</v>
      </c>
      <c r="C408" s="13">
        <v>110</v>
      </c>
      <c r="D408" s="18">
        <v>12</v>
      </c>
      <c r="E408" s="15">
        <v>1559</v>
      </c>
      <c r="F408" s="55" t="s">
        <v>619</v>
      </c>
      <c r="G408" s="18" t="s">
        <v>619</v>
      </c>
      <c r="H408" s="16">
        <v>39174000</v>
      </c>
      <c r="I408" s="17">
        <v>0.18</v>
      </c>
      <c r="J408" s="18" t="s">
        <v>2651</v>
      </c>
    </row>
    <row r="409" spans="1:10" ht="15.75" customHeight="1" x14ac:dyDescent="0.3">
      <c r="A409" s="34">
        <v>42320040</v>
      </c>
      <c r="B409" s="96" t="s">
        <v>2728</v>
      </c>
      <c r="C409" s="97">
        <v>50</v>
      </c>
      <c r="D409" s="18">
        <v>252</v>
      </c>
      <c r="E409" s="15">
        <v>239</v>
      </c>
      <c r="F409" s="12" t="s">
        <v>112</v>
      </c>
      <c r="G409" s="18" t="s">
        <v>112</v>
      </c>
      <c r="H409" s="16">
        <v>39174000</v>
      </c>
      <c r="I409" s="17">
        <v>0.18</v>
      </c>
      <c r="J409" s="18" t="s">
        <v>2651</v>
      </c>
    </row>
    <row r="410" spans="1:10" ht="15.75" customHeight="1" x14ac:dyDescent="0.3">
      <c r="A410" s="34">
        <v>42330040</v>
      </c>
      <c r="B410" s="23" t="s">
        <v>2728</v>
      </c>
      <c r="C410" s="13">
        <v>75</v>
      </c>
      <c r="D410" s="18">
        <v>96</v>
      </c>
      <c r="E410" s="15">
        <v>185</v>
      </c>
      <c r="F410" s="23" t="s">
        <v>112</v>
      </c>
      <c r="G410" s="18" t="s">
        <v>112</v>
      </c>
      <c r="H410" s="16">
        <v>39174000</v>
      </c>
      <c r="I410" s="17">
        <v>0.18</v>
      </c>
      <c r="J410" s="18" t="s">
        <v>2651</v>
      </c>
    </row>
    <row r="411" spans="1:10" ht="13" x14ac:dyDescent="0.3">
      <c r="A411" s="34">
        <v>42340060</v>
      </c>
      <c r="B411" s="23" t="s">
        <v>2728</v>
      </c>
      <c r="C411" s="13">
        <v>110</v>
      </c>
      <c r="D411" s="18">
        <v>80</v>
      </c>
      <c r="E411" s="15">
        <v>195</v>
      </c>
      <c r="F411" s="23" t="s">
        <v>112</v>
      </c>
      <c r="G411" s="18" t="s">
        <v>112</v>
      </c>
      <c r="H411" s="16">
        <v>39174000</v>
      </c>
      <c r="I411" s="17">
        <v>0.18</v>
      </c>
      <c r="J411" s="18" t="s">
        <v>2651</v>
      </c>
    </row>
    <row r="412" spans="1:10" ht="13" x14ac:dyDescent="0.3">
      <c r="A412" s="34">
        <v>42360040</v>
      </c>
      <c r="B412" s="23" t="s">
        <v>2728</v>
      </c>
      <c r="C412" s="13">
        <v>160</v>
      </c>
      <c r="D412" s="18">
        <v>27</v>
      </c>
      <c r="E412" s="15">
        <v>413</v>
      </c>
      <c r="F412" s="12" t="s">
        <v>112</v>
      </c>
      <c r="G412" s="18" t="s">
        <v>112</v>
      </c>
      <c r="H412" s="16">
        <v>39174000</v>
      </c>
      <c r="I412" s="17">
        <v>0.18</v>
      </c>
      <c r="J412" s="18" t="s">
        <v>2651</v>
      </c>
    </row>
    <row r="413" spans="1:10" ht="13" x14ac:dyDescent="0.3">
      <c r="A413" s="34" t="s">
        <v>527</v>
      </c>
      <c r="B413" s="23" t="s">
        <v>2729</v>
      </c>
      <c r="C413" s="13" t="s">
        <v>82</v>
      </c>
      <c r="D413" s="18">
        <v>10</v>
      </c>
      <c r="E413" s="15">
        <v>1435</v>
      </c>
      <c r="F413" s="23" t="s">
        <v>113</v>
      </c>
      <c r="G413" s="18" t="s">
        <v>113</v>
      </c>
      <c r="H413" s="16">
        <v>39174000</v>
      </c>
      <c r="I413" s="17">
        <v>0.18</v>
      </c>
      <c r="J413" s="18" t="s">
        <v>2651</v>
      </c>
    </row>
    <row r="414" spans="1:10" ht="13" x14ac:dyDescent="0.3">
      <c r="A414" s="34" t="s">
        <v>2681</v>
      </c>
      <c r="B414" s="23" t="s">
        <v>2730</v>
      </c>
      <c r="C414" s="13" t="s">
        <v>82</v>
      </c>
      <c r="D414" s="18">
        <v>5</v>
      </c>
      <c r="E414" s="15">
        <v>2870</v>
      </c>
      <c r="F414" s="23" t="s">
        <v>2763</v>
      </c>
      <c r="G414" s="18" t="s">
        <v>2763</v>
      </c>
      <c r="H414" s="16">
        <v>39174000</v>
      </c>
      <c r="I414" s="17">
        <v>0.18</v>
      </c>
      <c r="J414" s="18" t="s">
        <v>2651</v>
      </c>
    </row>
    <row r="415" spans="1:10" ht="13" x14ac:dyDescent="0.3">
      <c r="A415" s="34">
        <v>60117060</v>
      </c>
      <c r="B415" s="23" t="s">
        <v>2731</v>
      </c>
      <c r="C415" s="13" t="s">
        <v>114</v>
      </c>
      <c r="D415" s="18">
        <v>12</v>
      </c>
      <c r="E415" s="15">
        <v>1497</v>
      </c>
      <c r="F415" s="32" t="s">
        <v>1419</v>
      </c>
      <c r="G415" s="18" t="s">
        <v>1419</v>
      </c>
      <c r="H415" s="16">
        <v>39174000</v>
      </c>
      <c r="I415" s="17">
        <v>0.18</v>
      </c>
      <c r="J415" s="18" t="s">
        <v>2651</v>
      </c>
    </row>
    <row r="416" spans="1:10" ht="13" x14ac:dyDescent="0.3">
      <c r="A416" s="34" t="s">
        <v>708</v>
      </c>
      <c r="B416" s="23" t="s">
        <v>2732</v>
      </c>
      <c r="C416" s="13" t="s">
        <v>114</v>
      </c>
      <c r="D416" s="18">
        <v>16</v>
      </c>
      <c r="E416" s="15">
        <v>1779</v>
      </c>
      <c r="F416" s="32" t="s">
        <v>1420</v>
      </c>
      <c r="G416" s="18" t="s">
        <v>1420</v>
      </c>
      <c r="H416" s="16">
        <v>39174000</v>
      </c>
      <c r="I416" s="17">
        <v>0.18</v>
      </c>
      <c r="J416" s="18" t="s">
        <v>2651</v>
      </c>
    </row>
    <row r="417" spans="1:10" ht="13" x14ac:dyDescent="0.3">
      <c r="A417" s="34" t="s">
        <v>528</v>
      </c>
      <c r="B417" s="23" t="s">
        <v>2733</v>
      </c>
      <c r="C417" s="13" t="s">
        <v>114</v>
      </c>
      <c r="D417" s="18">
        <v>6</v>
      </c>
      <c r="E417" s="15">
        <v>1835</v>
      </c>
      <c r="F417" s="32" t="s">
        <v>115</v>
      </c>
      <c r="G417" s="18" t="s">
        <v>115</v>
      </c>
      <c r="H417" s="16">
        <v>39174000</v>
      </c>
      <c r="I417" s="17">
        <v>0.18</v>
      </c>
      <c r="J417" s="18" t="s">
        <v>2651</v>
      </c>
    </row>
    <row r="418" spans="1:10" ht="13" x14ac:dyDescent="0.3">
      <c r="A418" s="34" t="s">
        <v>529</v>
      </c>
      <c r="B418" s="23" t="s">
        <v>2734</v>
      </c>
      <c r="C418" s="22" t="s">
        <v>80</v>
      </c>
      <c r="D418" s="18">
        <v>30</v>
      </c>
      <c r="E418" s="15">
        <v>781</v>
      </c>
      <c r="F418" s="23" t="s">
        <v>709</v>
      </c>
      <c r="G418" s="18" t="s">
        <v>709</v>
      </c>
      <c r="H418" s="16">
        <v>39174000</v>
      </c>
      <c r="I418" s="17">
        <v>0.18</v>
      </c>
      <c r="J418" s="18" t="s">
        <v>2651</v>
      </c>
    </row>
    <row r="419" spans="1:10" ht="13" x14ac:dyDescent="0.3">
      <c r="A419" s="34" t="s">
        <v>2735</v>
      </c>
      <c r="B419" s="23" t="s">
        <v>2736</v>
      </c>
      <c r="C419" s="22" t="s">
        <v>2451</v>
      </c>
      <c r="D419" s="18">
        <v>4</v>
      </c>
      <c r="E419" s="15">
        <v>9000</v>
      </c>
      <c r="F419" s="12" t="s">
        <v>2497</v>
      </c>
      <c r="G419" s="18" t="s">
        <v>2497</v>
      </c>
      <c r="H419" s="16">
        <v>39174000</v>
      </c>
      <c r="I419" s="17">
        <v>0.18</v>
      </c>
      <c r="J419" s="18" t="s">
        <v>2651</v>
      </c>
    </row>
    <row r="420" spans="1:10" ht="13" x14ac:dyDescent="0.3">
      <c r="A420" s="34">
        <v>70114500</v>
      </c>
      <c r="B420" s="23" t="s">
        <v>2737</v>
      </c>
      <c r="C420" s="22" t="s">
        <v>2738</v>
      </c>
      <c r="D420" s="18">
        <v>24</v>
      </c>
      <c r="E420" s="15">
        <v>1244</v>
      </c>
      <c r="F420" s="32" t="s">
        <v>2764</v>
      </c>
      <c r="G420" s="18" t="s">
        <v>2764</v>
      </c>
      <c r="H420" s="16">
        <v>39174000</v>
      </c>
      <c r="I420" s="17">
        <v>0.18</v>
      </c>
      <c r="J420" s="18" t="s">
        <v>2651</v>
      </c>
    </row>
    <row r="421" spans="1:10" ht="13" x14ac:dyDescent="0.3">
      <c r="A421" s="34">
        <v>70124599</v>
      </c>
      <c r="B421" s="23" t="s">
        <v>2739</v>
      </c>
      <c r="C421" s="22" t="s">
        <v>166</v>
      </c>
      <c r="D421" s="18">
        <v>16</v>
      </c>
      <c r="E421" s="15">
        <v>1499</v>
      </c>
      <c r="F421" s="32" t="s">
        <v>2764</v>
      </c>
      <c r="G421" s="18" t="s">
        <v>2764</v>
      </c>
      <c r="H421" s="16">
        <v>39174000</v>
      </c>
      <c r="I421" s="17">
        <v>0.18</v>
      </c>
      <c r="J421" s="18" t="s">
        <v>2651</v>
      </c>
    </row>
    <row r="422" spans="1:10" ht="13" x14ac:dyDescent="0.3">
      <c r="A422" s="34">
        <v>70114590</v>
      </c>
      <c r="B422" s="23" t="s">
        <v>2740</v>
      </c>
      <c r="C422" s="22" t="s">
        <v>166</v>
      </c>
      <c r="D422" s="18">
        <v>18</v>
      </c>
      <c r="E422" s="15">
        <v>1821</v>
      </c>
      <c r="F422" s="23" t="s">
        <v>2764</v>
      </c>
      <c r="G422" s="18" t="s">
        <v>2764</v>
      </c>
      <c r="H422" s="16">
        <v>39174000</v>
      </c>
      <c r="I422" s="17">
        <v>0.18</v>
      </c>
      <c r="J422" s="18" t="s">
        <v>2651</v>
      </c>
    </row>
    <row r="423" spans="1:10" ht="13" x14ac:dyDescent="0.3">
      <c r="A423" s="34">
        <v>70124590</v>
      </c>
      <c r="B423" s="23" t="s">
        <v>2741</v>
      </c>
      <c r="C423" s="22" t="s">
        <v>2738</v>
      </c>
      <c r="D423" s="18">
        <v>12</v>
      </c>
      <c r="E423" s="15">
        <v>2048</v>
      </c>
      <c r="F423" s="12" t="s">
        <v>2764</v>
      </c>
      <c r="G423" s="18" t="s">
        <v>2764</v>
      </c>
      <c r="H423" s="16">
        <v>39174000</v>
      </c>
      <c r="I423" s="17">
        <v>0.18</v>
      </c>
      <c r="J423" s="18" t="s">
        <v>2651</v>
      </c>
    </row>
    <row r="424" spans="1:10" ht="13" x14ac:dyDescent="0.3">
      <c r="A424" s="34">
        <v>70140760</v>
      </c>
      <c r="B424" s="23" t="s">
        <v>2742</v>
      </c>
      <c r="C424" s="22" t="s">
        <v>167</v>
      </c>
      <c r="D424" s="18">
        <v>60</v>
      </c>
      <c r="E424" s="15">
        <v>760</v>
      </c>
      <c r="F424" s="12" t="s">
        <v>2764</v>
      </c>
      <c r="G424" s="18" t="s">
        <v>2764</v>
      </c>
      <c r="H424" s="16">
        <v>39174000</v>
      </c>
      <c r="I424" s="17">
        <v>0.18</v>
      </c>
      <c r="J424" s="18" t="s">
        <v>2651</v>
      </c>
    </row>
    <row r="425" spans="1:10" ht="13" x14ac:dyDescent="0.3">
      <c r="A425" s="34" t="s">
        <v>530</v>
      </c>
      <c r="B425" s="23" t="s">
        <v>2743</v>
      </c>
      <c r="C425" s="13">
        <v>110</v>
      </c>
      <c r="D425" s="18">
        <v>30</v>
      </c>
      <c r="E425" s="15">
        <v>651</v>
      </c>
      <c r="F425" s="23" t="s">
        <v>116</v>
      </c>
      <c r="G425" s="18" t="s">
        <v>116</v>
      </c>
      <c r="H425" s="16">
        <v>39174000</v>
      </c>
      <c r="I425" s="17">
        <v>0.18</v>
      </c>
      <c r="J425" s="18" t="s">
        <v>2651</v>
      </c>
    </row>
    <row r="426" spans="1:10" ht="13" x14ac:dyDescent="0.3">
      <c r="A426" s="34" t="s">
        <v>531</v>
      </c>
      <c r="B426" s="23" t="s">
        <v>2744</v>
      </c>
      <c r="C426" s="13">
        <v>110</v>
      </c>
      <c r="D426" s="18">
        <v>15</v>
      </c>
      <c r="E426" s="15">
        <v>977</v>
      </c>
      <c r="F426" s="23" t="s">
        <v>116</v>
      </c>
      <c r="G426" s="18" t="s">
        <v>116</v>
      </c>
      <c r="H426" s="16">
        <v>39174000</v>
      </c>
      <c r="I426" s="17">
        <v>0.18</v>
      </c>
      <c r="J426" s="18" t="s">
        <v>2651</v>
      </c>
    </row>
    <row r="427" spans="1:10" ht="13" x14ac:dyDescent="0.3">
      <c r="A427" s="34" t="s">
        <v>2672</v>
      </c>
      <c r="B427" s="23" t="s">
        <v>2745</v>
      </c>
      <c r="C427" s="13">
        <v>110</v>
      </c>
      <c r="D427" s="18">
        <v>48</v>
      </c>
      <c r="E427" s="15">
        <v>110</v>
      </c>
      <c r="F427" s="23" t="s">
        <v>2765</v>
      </c>
      <c r="G427" s="18" t="s">
        <v>2765</v>
      </c>
      <c r="H427" s="16">
        <v>39174000</v>
      </c>
      <c r="I427" s="17">
        <v>0.18</v>
      </c>
      <c r="J427" s="18" t="s">
        <v>2651</v>
      </c>
    </row>
    <row r="428" spans="1:10" ht="13" x14ac:dyDescent="0.3">
      <c r="A428" s="34" t="s">
        <v>2746</v>
      </c>
      <c r="B428" s="23" t="s">
        <v>2747</v>
      </c>
      <c r="C428" s="13" t="s">
        <v>101</v>
      </c>
      <c r="D428" s="18">
        <v>9</v>
      </c>
      <c r="E428" s="15">
        <v>1289</v>
      </c>
      <c r="F428" s="23" t="s">
        <v>2501</v>
      </c>
      <c r="G428" s="18" t="s">
        <v>2892</v>
      </c>
      <c r="H428" s="16">
        <v>39174000</v>
      </c>
      <c r="I428" s="17">
        <v>0.18</v>
      </c>
      <c r="J428" s="18" t="s">
        <v>2651</v>
      </c>
    </row>
    <row r="429" spans="1:10" ht="13" x14ac:dyDescent="0.3">
      <c r="A429" s="34" t="s">
        <v>2748</v>
      </c>
      <c r="B429" s="23" t="s">
        <v>2749</v>
      </c>
      <c r="C429" s="13" t="s">
        <v>101</v>
      </c>
      <c r="D429" s="18">
        <v>9</v>
      </c>
      <c r="E429" s="15">
        <v>1460</v>
      </c>
      <c r="F429" s="23" t="s">
        <v>2502</v>
      </c>
      <c r="G429" s="18" t="s">
        <v>2892</v>
      </c>
      <c r="H429" s="16">
        <v>39174000</v>
      </c>
      <c r="I429" s="17">
        <v>0.18</v>
      </c>
      <c r="J429" s="18" t="s">
        <v>2651</v>
      </c>
    </row>
    <row r="430" spans="1:10" ht="13" x14ac:dyDescent="0.3">
      <c r="A430" s="34">
        <v>70712</v>
      </c>
      <c r="B430" s="23" t="s">
        <v>2750</v>
      </c>
      <c r="C430" s="13" t="s">
        <v>2452</v>
      </c>
      <c r="D430" s="18">
        <v>8</v>
      </c>
      <c r="E430" s="15">
        <v>1674</v>
      </c>
      <c r="F430" s="23" t="s">
        <v>2766</v>
      </c>
      <c r="G430" s="18" t="s">
        <v>2892</v>
      </c>
      <c r="H430" s="16">
        <v>39174000</v>
      </c>
      <c r="I430" s="17">
        <v>0.18</v>
      </c>
      <c r="J430" s="18" t="s">
        <v>2651</v>
      </c>
    </row>
    <row r="431" spans="1:10" ht="13" x14ac:dyDescent="0.3">
      <c r="A431" s="34" t="s">
        <v>2682</v>
      </c>
      <c r="B431" s="23" t="s">
        <v>2750</v>
      </c>
      <c r="C431" s="13" t="s">
        <v>2478</v>
      </c>
      <c r="D431" s="18">
        <v>6</v>
      </c>
      <c r="E431" s="15">
        <v>1959</v>
      </c>
      <c r="F431" s="23" t="s">
        <v>2767</v>
      </c>
      <c r="G431" s="18" t="s">
        <v>2892</v>
      </c>
      <c r="H431" s="16">
        <v>39174000</v>
      </c>
      <c r="I431" s="17">
        <v>0.18</v>
      </c>
      <c r="J431" s="18" t="s">
        <v>2651</v>
      </c>
    </row>
    <row r="432" spans="1:10" ht="13" x14ac:dyDescent="0.3">
      <c r="A432" s="34" t="s">
        <v>2751</v>
      </c>
      <c r="B432" s="23" t="s">
        <v>2747</v>
      </c>
      <c r="C432" s="13" t="s">
        <v>2479</v>
      </c>
      <c r="D432" s="18">
        <v>7</v>
      </c>
      <c r="E432" s="15">
        <v>1779</v>
      </c>
      <c r="F432" s="23" t="s">
        <v>2768</v>
      </c>
      <c r="G432" s="18" t="s">
        <v>2892</v>
      </c>
      <c r="H432" s="16">
        <v>39174000</v>
      </c>
      <c r="I432" s="17">
        <v>0.18</v>
      </c>
      <c r="J432" s="18" t="s">
        <v>2651</v>
      </c>
    </row>
    <row r="433" spans="1:10" ht="13" x14ac:dyDescent="0.3">
      <c r="A433" s="34" t="s">
        <v>2752</v>
      </c>
      <c r="B433" s="23" t="s">
        <v>2749</v>
      </c>
      <c r="C433" s="13" t="s">
        <v>2479</v>
      </c>
      <c r="D433" s="18">
        <v>8</v>
      </c>
      <c r="E433" s="15">
        <v>1779</v>
      </c>
      <c r="F433" s="23" t="s">
        <v>2769</v>
      </c>
      <c r="G433" s="18" t="s">
        <v>2892</v>
      </c>
      <c r="H433" s="16">
        <v>39174000</v>
      </c>
      <c r="I433" s="17">
        <v>0.18</v>
      </c>
      <c r="J433" s="18" t="s">
        <v>2651</v>
      </c>
    </row>
    <row r="434" spans="1:10" ht="13" x14ac:dyDescent="0.3">
      <c r="A434" s="34">
        <v>47700012</v>
      </c>
      <c r="B434" s="23" t="s">
        <v>117</v>
      </c>
      <c r="C434" s="13" t="s">
        <v>118</v>
      </c>
      <c r="D434" s="18">
        <v>40</v>
      </c>
      <c r="E434" s="15">
        <v>198</v>
      </c>
      <c r="F434" s="23" t="s">
        <v>117</v>
      </c>
      <c r="G434" s="18" t="s">
        <v>117</v>
      </c>
      <c r="H434" s="16">
        <v>39174000</v>
      </c>
      <c r="I434" s="17">
        <v>0.18</v>
      </c>
      <c r="J434" s="18" t="s">
        <v>117</v>
      </c>
    </row>
    <row r="435" spans="1:10" ht="13" x14ac:dyDescent="0.3">
      <c r="A435" s="34" t="s">
        <v>2753</v>
      </c>
      <c r="B435" s="23" t="s">
        <v>2754</v>
      </c>
      <c r="C435" s="13">
        <v>40</v>
      </c>
      <c r="D435" s="18">
        <v>110</v>
      </c>
      <c r="E435" s="15">
        <v>228</v>
      </c>
      <c r="F435" s="23" t="s">
        <v>119</v>
      </c>
      <c r="G435" s="18" t="s">
        <v>119</v>
      </c>
      <c r="H435" s="18">
        <v>82057000</v>
      </c>
      <c r="I435" s="17">
        <v>0.18</v>
      </c>
      <c r="J435" s="18" t="s">
        <v>2652</v>
      </c>
    </row>
    <row r="436" spans="1:10" ht="13" x14ac:dyDescent="0.3">
      <c r="A436" s="34" t="s">
        <v>2755</v>
      </c>
      <c r="B436" s="23" t="s">
        <v>2754</v>
      </c>
      <c r="C436" s="13">
        <v>50</v>
      </c>
      <c r="D436" s="18">
        <v>100</v>
      </c>
      <c r="E436" s="15">
        <v>258</v>
      </c>
      <c r="F436" s="23" t="s">
        <v>119</v>
      </c>
      <c r="G436" s="18" t="s">
        <v>119</v>
      </c>
      <c r="H436" s="18">
        <v>82057000</v>
      </c>
      <c r="I436" s="17">
        <v>0.18</v>
      </c>
      <c r="J436" s="18" t="s">
        <v>2652</v>
      </c>
    </row>
    <row r="437" spans="1:10" ht="13" x14ac:dyDescent="0.3">
      <c r="A437" s="34" t="s">
        <v>2756</v>
      </c>
      <c r="B437" s="23" t="s">
        <v>2754</v>
      </c>
      <c r="C437" s="13">
        <v>75</v>
      </c>
      <c r="D437" s="18">
        <v>70</v>
      </c>
      <c r="E437" s="15">
        <v>312</v>
      </c>
      <c r="F437" s="23" t="s">
        <v>119</v>
      </c>
      <c r="G437" s="18" t="s">
        <v>119</v>
      </c>
      <c r="H437" s="18">
        <v>82057000</v>
      </c>
      <c r="I437" s="17">
        <v>0.18</v>
      </c>
      <c r="J437" s="18" t="s">
        <v>2652</v>
      </c>
    </row>
    <row r="438" spans="1:10" ht="13" x14ac:dyDescent="0.3">
      <c r="A438" s="34" t="s">
        <v>2757</v>
      </c>
      <c r="B438" s="23" t="s">
        <v>2754</v>
      </c>
      <c r="C438" s="13">
        <v>110</v>
      </c>
      <c r="D438" s="18">
        <v>50</v>
      </c>
      <c r="E438" s="15">
        <v>408</v>
      </c>
      <c r="F438" s="23" t="s">
        <v>119</v>
      </c>
      <c r="G438" s="18" t="s">
        <v>119</v>
      </c>
      <c r="H438" s="18">
        <v>82057000</v>
      </c>
      <c r="I438" s="17">
        <v>0.18</v>
      </c>
      <c r="J438" s="18" t="s">
        <v>2651</v>
      </c>
    </row>
    <row r="439" spans="1:10" ht="13" x14ac:dyDescent="0.3">
      <c r="A439" s="34" t="s">
        <v>2758</v>
      </c>
      <c r="B439" s="23" t="s">
        <v>2754</v>
      </c>
      <c r="C439" s="13">
        <v>125</v>
      </c>
      <c r="D439" s="18">
        <v>45</v>
      </c>
      <c r="E439" s="15">
        <v>432</v>
      </c>
      <c r="F439" s="23" t="s">
        <v>119</v>
      </c>
      <c r="G439" s="18" t="s">
        <v>119</v>
      </c>
      <c r="H439" s="18">
        <v>82057000</v>
      </c>
      <c r="I439" s="17">
        <v>0.18</v>
      </c>
      <c r="J439" s="18" t="s">
        <v>2651</v>
      </c>
    </row>
    <row r="440" spans="1:10" ht="13" x14ac:dyDescent="0.3">
      <c r="A440" s="34" t="s">
        <v>2759</v>
      </c>
      <c r="B440" s="32" t="s">
        <v>2754</v>
      </c>
      <c r="C440" s="13">
        <v>160</v>
      </c>
      <c r="D440" s="18">
        <v>30</v>
      </c>
      <c r="E440" s="15">
        <v>540</v>
      </c>
      <c r="F440" s="23" t="s">
        <v>119</v>
      </c>
      <c r="G440" s="18" t="s">
        <v>119</v>
      </c>
      <c r="H440" s="18">
        <v>82057000</v>
      </c>
      <c r="I440" s="17">
        <v>0.18</v>
      </c>
      <c r="J440" s="18" t="s">
        <v>2651</v>
      </c>
    </row>
    <row r="441" spans="1:10" ht="13" x14ac:dyDescent="0.3">
      <c r="A441" s="34" t="s">
        <v>2760</v>
      </c>
      <c r="B441" s="32" t="s">
        <v>2754</v>
      </c>
      <c r="C441" s="13">
        <v>200</v>
      </c>
      <c r="D441" s="18">
        <v>25</v>
      </c>
      <c r="E441" s="15">
        <v>630</v>
      </c>
      <c r="F441" s="23" t="s">
        <v>119</v>
      </c>
      <c r="G441" s="18" t="s">
        <v>119</v>
      </c>
      <c r="H441" s="18">
        <v>82057000</v>
      </c>
      <c r="I441" s="17">
        <v>0.18</v>
      </c>
      <c r="J441" s="18" t="s">
        <v>2652</v>
      </c>
    </row>
    <row r="442" spans="1:10" ht="13" x14ac:dyDescent="0.3">
      <c r="A442" s="34">
        <v>41740060</v>
      </c>
      <c r="B442" s="32" t="s">
        <v>2761</v>
      </c>
      <c r="C442" s="13">
        <v>110</v>
      </c>
      <c r="D442" s="18">
        <v>50</v>
      </c>
      <c r="E442" s="15">
        <v>1019</v>
      </c>
      <c r="F442" s="27" t="s">
        <v>2503</v>
      </c>
      <c r="G442" s="18" t="s">
        <v>122</v>
      </c>
      <c r="H442" s="16">
        <v>39174000</v>
      </c>
      <c r="I442" s="17">
        <v>0.18</v>
      </c>
      <c r="J442" s="18" t="s">
        <v>2651</v>
      </c>
    </row>
    <row r="443" spans="1:10" ht="13" x14ac:dyDescent="0.3">
      <c r="A443" s="34">
        <v>41760051</v>
      </c>
      <c r="B443" s="32" t="s">
        <v>2761</v>
      </c>
      <c r="C443" s="13">
        <v>160</v>
      </c>
      <c r="D443" s="18">
        <v>60</v>
      </c>
      <c r="E443" s="15">
        <v>1192</v>
      </c>
      <c r="F443" s="27" t="s">
        <v>2503</v>
      </c>
      <c r="G443" s="18" t="s">
        <v>122</v>
      </c>
      <c r="H443" s="16">
        <v>39174000</v>
      </c>
      <c r="I443" s="17">
        <v>0.18</v>
      </c>
      <c r="J443" s="18" t="s">
        <v>2651</v>
      </c>
    </row>
    <row r="444" spans="1:10" ht="13" x14ac:dyDescent="0.3">
      <c r="A444" s="34">
        <v>7074010970</v>
      </c>
      <c r="B444" s="32" t="s">
        <v>710</v>
      </c>
      <c r="C444" s="13">
        <v>46</v>
      </c>
      <c r="D444" s="18">
        <v>1</v>
      </c>
      <c r="E444" s="15">
        <v>194</v>
      </c>
      <c r="F444" s="27" t="s">
        <v>2770</v>
      </c>
      <c r="G444" s="18" t="s">
        <v>122</v>
      </c>
      <c r="H444" s="16">
        <v>39174000</v>
      </c>
      <c r="I444" s="17">
        <v>0.18</v>
      </c>
      <c r="J444" s="18" t="s">
        <v>2649</v>
      </c>
    </row>
    <row r="445" spans="1:10" ht="13" x14ac:dyDescent="0.3">
      <c r="A445" s="34">
        <v>7074021970</v>
      </c>
      <c r="B445" s="32" t="s">
        <v>710</v>
      </c>
      <c r="C445" s="13">
        <v>50</v>
      </c>
      <c r="D445" s="18">
        <v>1</v>
      </c>
      <c r="E445" s="15">
        <v>215</v>
      </c>
      <c r="F445" s="27" t="s">
        <v>2770</v>
      </c>
      <c r="G445" s="18" t="s">
        <v>122</v>
      </c>
      <c r="H445" s="16">
        <v>39174000</v>
      </c>
      <c r="I445" s="17">
        <v>0.18</v>
      </c>
      <c r="J445" s="18" t="s">
        <v>2649</v>
      </c>
    </row>
    <row r="446" spans="1:10" ht="13" x14ac:dyDescent="0.3">
      <c r="A446" s="34">
        <v>7074011970</v>
      </c>
      <c r="B446" s="32" t="s">
        <v>710</v>
      </c>
      <c r="C446" s="13">
        <v>46</v>
      </c>
      <c r="D446" s="18">
        <v>1</v>
      </c>
      <c r="E446" s="15">
        <v>194</v>
      </c>
      <c r="F446" s="27" t="s">
        <v>2770</v>
      </c>
      <c r="G446" s="18" t="s">
        <v>122</v>
      </c>
      <c r="H446" s="16">
        <v>39174000</v>
      </c>
      <c r="I446" s="17">
        <v>0.18</v>
      </c>
      <c r="J446" s="18" t="s">
        <v>2649</v>
      </c>
    </row>
    <row r="447" spans="1:10" ht="13" x14ac:dyDescent="0.3">
      <c r="A447" s="34">
        <v>7074022970</v>
      </c>
      <c r="B447" s="23" t="s">
        <v>710</v>
      </c>
      <c r="C447" s="13">
        <v>50</v>
      </c>
      <c r="D447" s="18">
        <v>1</v>
      </c>
      <c r="E447" s="15">
        <v>194</v>
      </c>
      <c r="F447" s="27" t="s">
        <v>2770</v>
      </c>
      <c r="G447" s="18" t="s">
        <v>122</v>
      </c>
      <c r="H447" s="16">
        <v>39174000</v>
      </c>
      <c r="I447" s="17">
        <v>0.18</v>
      </c>
      <c r="J447" s="18" t="s">
        <v>2649</v>
      </c>
    </row>
    <row r="448" spans="1:10" ht="13" x14ac:dyDescent="0.3">
      <c r="A448" s="34">
        <v>7074021971</v>
      </c>
      <c r="B448" s="32" t="s">
        <v>711</v>
      </c>
      <c r="C448" s="13">
        <v>50</v>
      </c>
      <c r="D448" s="18">
        <v>1</v>
      </c>
      <c r="E448" s="15">
        <v>303</v>
      </c>
      <c r="F448" s="27" t="s">
        <v>2771</v>
      </c>
      <c r="G448" s="18" t="s">
        <v>122</v>
      </c>
      <c r="H448" s="16">
        <v>39174000</v>
      </c>
      <c r="I448" s="17">
        <v>0.18</v>
      </c>
      <c r="J448" s="18" t="s">
        <v>2649</v>
      </c>
    </row>
    <row r="449" spans="1:10" ht="13" x14ac:dyDescent="0.3">
      <c r="A449" s="34">
        <v>7074011971</v>
      </c>
      <c r="B449" s="23" t="s">
        <v>711</v>
      </c>
      <c r="C449" s="13">
        <v>46</v>
      </c>
      <c r="D449" s="18">
        <v>1</v>
      </c>
      <c r="E449" s="15">
        <v>303</v>
      </c>
      <c r="F449" s="27" t="s">
        <v>2771</v>
      </c>
      <c r="G449" s="18" t="s">
        <v>122</v>
      </c>
      <c r="H449" s="16">
        <v>39174000</v>
      </c>
      <c r="I449" s="17">
        <v>0.18</v>
      </c>
      <c r="J449" s="18" t="s">
        <v>2649</v>
      </c>
    </row>
    <row r="450" spans="1:10" ht="13" x14ac:dyDescent="0.3">
      <c r="A450" s="34" t="s">
        <v>712</v>
      </c>
      <c r="B450" s="23" t="s">
        <v>2762</v>
      </c>
      <c r="C450" s="13">
        <v>46</v>
      </c>
      <c r="D450" s="18">
        <v>1</v>
      </c>
      <c r="E450" s="15">
        <v>218</v>
      </c>
      <c r="F450" s="23" t="s">
        <v>2772</v>
      </c>
      <c r="G450" s="18" t="s">
        <v>122</v>
      </c>
      <c r="H450" s="18">
        <v>39173990</v>
      </c>
      <c r="I450" s="17">
        <v>0.18</v>
      </c>
      <c r="J450" s="18" t="s">
        <v>2649</v>
      </c>
    </row>
    <row r="451" spans="1:10" ht="13" x14ac:dyDescent="0.3">
      <c r="A451" s="34" t="s">
        <v>713</v>
      </c>
      <c r="B451" s="23" t="s">
        <v>2762</v>
      </c>
      <c r="C451" s="13">
        <v>46</v>
      </c>
      <c r="D451" s="18">
        <v>1</v>
      </c>
      <c r="E451" s="15">
        <v>218</v>
      </c>
      <c r="F451" s="23" t="s">
        <v>2772</v>
      </c>
      <c r="G451" s="18" t="s">
        <v>122</v>
      </c>
      <c r="H451" s="18">
        <v>39173990</v>
      </c>
      <c r="I451" s="17">
        <v>0.18</v>
      </c>
      <c r="J451" s="18" t="s">
        <v>2649</v>
      </c>
    </row>
    <row r="452" spans="1:10" ht="13" x14ac:dyDescent="0.3">
      <c r="A452" s="34" t="s">
        <v>714</v>
      </c>
      <c r="B452" s="23" t="s">
        <v>2762</v>
      </c>
      <c r="C452" s="13">
        <v>50</v>
      </c>
      <c r="D452" s="18">
        <v>1</v>
      </c>
      <c r="E452" s="15">
        <v>309</v>
      </c>
      <c r="F452" s="23" t="s">
        <v>2772</v>
      </c>
      <c r="G452" s="18" t="s">
        <v>122</v>
      </c>
      <c r="H452" s="18">
        <v>39173990</v>
      </c>
      <c r="I452" s="17">
        <v>0.18</v>
      </c>
      <c r="J452" s="18" t="s">
        <v>2649</v>
      </c>
    </row>
    <row r="453" spans="1:10" ht="13" x14ac:dyDescent="0.3">
      <c r="A453" s="34" t="s">
        <v>715</v>
      </c>
      <c r="B453" s="23" t="s">
        <v>2762</v>
      </c>
      <c r="C453" s="13">
        <v>50</v>
      </c>
      <c r="D453" s="18">
        <v>1</v>
      </c>
      <c r="E453" s="15">
        <v>309</v>
      </c>
      <c r="F453" s="23" t="s">
        <v>2772</v>
      </c>
      <c r="G453" s="18" t="s">
        <v>122</v>
      </c>
      <c r="H453" s="18">
        <v>39173990</v>
      </c>
      <c r="I453" s="17">
        <v>0.18</v>
      </c>
      <c r="J453" s="18" t="s">
        <v>2649</v>
      </c>
    </row>
    <row r="454" spans="1:10" ht="13" x14ac:dyDescent="0.3">
      <c r="A454" s="34" t="s">
        <v>168</v>
      </c>
      <c r="B454" s="23" t="s">
        <v>2056</v>
      </c>
      <c r="C454" s="13">
        <v>16</v>
      </c>
      <c r="D454" s="18" t="s">
        <v>2247</v>
      </c>
      <c r="E454" s="15">
        <v>213</v>
      </c>
      <c r="F454" s="23" t="s">
        <v>716</v>
      </c>
      <c r="G454" s="18" t="s">
        <v>717</v>
      </c>
      <c r="H454" s="18">
        <v>39173990</v>
      </c>
      <c r="I454" s="17">
        <v>0.18</v>
      </c>
      <c r="J454" s="18" t="s">
        <v>717</v>
      </c>
    </row>
    <row r="455" spans="1:10" ht="13" x14ac:dyDescent="0.3">
      <c r="A455" s="34" t="s">
        <v>169</v>
      </c>
      <c r="B455" s="23" t="s">
        <v>2057</v>
      </c>
      <c r="C455" s="13">
        <v>20</v>
      </c>
      <c r="D455" s="18" t="s">
        <v>2247</v>
      </c>
      <c r="E455" s="15">
        <v>279</v>
      </c>
      <c r="F455" s="23" t="s">
        <v>716</v>
      </c>
      <c r="G455" s="18" t="s">
        <v>717</v>
      </c>
      <c r="H455" s="18">
        <v>39173990</v>
      </c>
      <c r="I455" s="17">
        <v>0.18</v>
      </c>
      <c r="J455" s="18" t="s">
        <v>717</v>
      </c>
    </row>
    <row r="456" spans="1:10" ht="13" x14ac:dyDescent="0.3">
      <c r="A456" s="34" t="s">
        <v>170</v>
      </c>
      <c r="B456" s="23" t="s">
        <v>2058</v>
      </c>
      <c r="C456" s="13">
        <v>25</v>
      </c>
      <c r="D456" s="18" t="s">
        <v>2248</v>
      </c>
      <c r="E456" s="15">
        <v>397</v>
      </c>
      <c r="F456" s="23" t="s">
        <v>716</v>
      </c>
      <c r="G456" s="18" t="s">
        <v>717</v>
      </c>
      <c r="H456" s="18">
        <v>39173990</v>
      </c>
      <c r="I456" s="17">
        <v>0.18</v>
      </c>
      <c r="J456" s="18" t="s">
        <v>717</v>
      </c>
    </row>
    <row r="457" spans="1:10" ht="13" x14ac:dyDescent="0.3">
      <c r="A457" s="34" t="s">
        <v>171</v>
      </c>
      <c r="B457" s="23" t="s">
        <v>2059</v>
      </c>
      <c r="C457" s="13">
        <v>32</v>
      </c>
      <c r="D457" s="18" t="s">
        <v>2248</v>
      </c>
      <c r="E457" s="15">
        <v>664</v>
      </c>
      <c r="F457" s="23" t="s">
        <v>716</v>
      </c>
      <c r="G457" s="18" t="s">
        <v>717</v>
      </c>
      <c r="H457" s="18">
        <v>39173990</v>
      </c>
      <c r="I457" s="17">
        <v>0.18</v>
      </c>
      <c r="J457" s="18" t="s">
        <v>717</v>
      </c>
    </row>
    <row r="458" spans="1:10" ht="13" x14ac:dyDescent="0.3">
      <c r="A458" s="34" t="s">
        <v>2060</v>
      </c>
      <c r="B458" s="23" t="s">
        <v>2061</v>
      </c>
      <c r="C458" s="13">
        <v>40</v>
      </c>
      <c r="D458" s="18" t="s">
        <v>2249</v>
      </c>
      <c r="E458" s="15">
        <v>1025</v>
      </c>
      <c r="F458" s="23" t="s">
        <v>716</v>
      </c>
      <c r="G458" s="18" t="s">
        <v>717</v>
      </c>
      <c r="H458" s="18">
        <v>39173990</v>
      </c>
      <c r="I458" s="17">
        <v>0.18</v>
      </c>
      <c r="J458" s="18" t="s">
        <v>717</v>
      </c>
    </row>
    <row r="459" spans="1:10" ht="13" x14ac:dyDescent="0.3">
      <c r="A459" s="34" t="s">
        <v>2062</v>
      </c>
      <c r="B459" s="23" t="s">
        <v>2063</v>
      </c>
      <c r="C459" s="13">
        <v>50</v>
      </c>
      <c r="D459" s="18" t="s">
        <v>2249</v>
      </c>
      <c r="E459" s="15">
        <v>1612</v>
      </c>
      <c r="F459" s="23" t="s">
        <v>716</v>
      </c>
      <c r="G459" s="18" t="s">
        <v>717</v>
      </c>
      <c r="H459" s="18">
        <v>39173990</v>
      </c>
      <c r="I459" s="17">
        <v>0.18</v>
      </c>
      <c r="J459" s="18" t="s">
        <v>717</v>
      </c>
    </row>
    <row r="460" spans="1:10" ht="13" x14ac:dyDescent="0.3">
      <c r="A460" s="34" t="s">
        <v>2064</v>
      </c>
      <c r="B460" s="23" t="s">
        <v>2065</v>
      </c>
      <c r="C460" s="13">
        <v>63</v>
      </c>
      <c r="D460" s="18" t="s">
        <v>2249</v>
      </c>
      <c r="E460" s="15">
        <v>2382</v>
      </c>
      <c r="F460" s="23" t="s">
        <v>716</v>
      </c>
      <c r="G460" s="18" t="s">
        <v>717</v>
      </c>
      <c r="H460" s="18">
        <v>39173990</v>
      </c>
      <c r="I460" s="17">
        <v>0.18</v>
      </c>
      <c r="J460" s="18" t="s">
        <v>717</v>
      </c>
    </row>
    <row r="461" spans="1:10" ht="13" x14ac:dyDescent="0.3">
      <c r="A461" s="34" t="s">
        <v>2066</v>
      </c>
      <c r="B461" s="23" t="s">
        <v>2067</v>
      </c>
      <c r="C461" s="13">
        <v>75</v>
      </c>
      <c r="D461" s="18" t="s">
        <v>2249</v>
      </c>
      <c r="E461" s="15">
        <v>7975</v>
      </c>
      <c r="F461" s="23" t="s">
        <v>716</v>
      </c>
      <c r="G461" s="18" t="s">
        <v>717</v>
      </c>
      <c r="H461" s="18">
        <v>39173990</v>
      </c>
      <c r="I461" s="17">
        <v>0.18</v>
      </c>
      <c r="J461" s="18" t="s">
        <v>717</v>
      </c>
    </row>
    <row r="462" spans="1:10" ht="13" x14ac:dyDescent="0.3">
      <c r="A462" s="34" t="s">
        <v>2068</v>
      </c>
      <c r="B462" s="23" t="s">
        <v>2069</v>
      </c>
      <c r="C462" s="13">
        <v>90</v>
      </c>
      <c r="D462" s="18" t="s">
        <v>2249</v>
      </c>
      <c r="E462" s="15">
        <v>23188</v>
      </c>
      <c r="F462" s="23" t="s">
        <v>716</v>
      </c>
      <c r="G462" s="18" t="s">
        <v>717</v>
      </c>
      <c r="H462" s="18">
        <v>39173990</v>
      </c>
      <c r="I462" s="17">
        <v>0.18</v>
      </c>
      <c r="J462" s="18" t="s">
        <v>2932</v>
      </c>
    </row>
    <row r="463" spans="1:10" ht="13" x14ac:dyDescent="0.3">
      <c r="A463" s="34" t="s">
        <v>2070</v>
      </c>
      <c r="B463" s="23" t="s">
        <v>2071</v>
      </c>
      <c r="C463" s="13">
        <v>110</v>
      </c>
      <c r="D463" s="18" t="s">
        <v>2249</v>
      </c>
      <c r="E463" s="15">
        <v>26832</v>
      </c>
      <c r="F463" s="23" t="s">
        <v>716</v>
      </c>
      <c r="G463" s="18" t="s">
        <v>717</v>
      </c>
      <c r="H463" s="18">
        <v>39173990</v>
      </c>
      <c r="I463" s="17">
        <v>0.18</v>
      </c>
      <c r="J463" s="18" t="s">
        <v>2932</v>
      </c>
    </row>
    <row r="464" spans="1:10" ht="13" x14ac:dyDescent="0.3">
      <c r="A464" s="34" t="s">
        <v>2453</v>
      </c>
      <c r="B464" s="23" t="s">
        <v>2072</v>
      </c>
      <c r="C464" s="13">
        <v>16</v>
      </c>
      <c r="D464" s="18" t="s">
        <v>2250</v>
      </c>
      <c r="E464" s="15">
        <v>292</v>
      </c>
      <c r="F464" s="23" t="s">
        <v>2222</v>
      </c>
      <c r="G464" s="18" t="s">
        <v>2252</v>
      </c>
      <c r="H464" s="18">
        <v>39173990</v>
      </c>
      <c r="I464" s="17">
        <v>0.18</v>
      </c>
      <c r="J464" s="18" t="s">
        <v>2932</v>
      </c>
    </row>
    <row r="465" spans="1:10" ht="13" x14ac:dyDescent="0.3">
      <c r="A465" s="34" t="s">
        <v>2454</v>
      </c>
      <c r="B465" s="23" t="s">
        <v>2073</v>
      </c>
      <c r="C465" s="13">
        <v>20</v>
      </c>
      <c r="D465" s="18" t="s">
        <v>2250</v>
      </c>
      <c r="E465" s="15">
        <v>390</v>
      </c>
      <c r="F465" s="23" t="s">
        <v>2222</v>
      </c>
      <c r="G465" s="18" t="s">
        <v>2252</v>
      </c>
      <c r="H465" s="18">
        <v>39173990</v>
      </c>
      <c r="I465" s="17">
        <v>0.18</v>
      </c>
      <c r="J465" s="18" t="s">
        <v>2932</v>
      </c>
    </row>
    <row r="466" spans="1:10" ht="13" x14ac:dyDescent="0.3">
      <c r="A466" s="34" t="s">
        <v>2455</v>
      </c>
      <c r="B466" s="23" t="s">
        <v>2074</v>
      </c>
      <c r="C466" s="13">
        <v>25</v>
      </c>
      <c r="D466" s="18" t="s">
        <v>2251</v>
      </c>
      <c r="E466" s="15">
        <v>577</v>
      </c>
      <c r="F466" s="23" t="s">
        <v>2222</v>
      </c>
      <c r="G466" s="18" t="s">
        <v>2252</v>
      </c>
      <c r="H466" s="18">
        <v>39173990</v>
      </c>
      <c r="I466" s="17">
        <v>0.18</v>
      </c>
      <c r="J466" s="18" t="s">
        <v>2932</v>
      </c>
    </row>
    <row r="467" spans="1:10" ht="13" x14ac:dyDescent="0.3">
      <c r="A467" s="34" t="s">
        <v>2456</v>
      </c>
      <c r="B467" s="23" t="s">
        <v>2075</v>
      </c>
      <c r="C467" s="13">
        <v>32</v>
      </c>
      <c r="D467" s="18" t="s">
        <v>2251</v>
      </c>
      <c r="E467" s="15">
        <v>922</v>
      </c>
      <c r="F467" s="23" t="s">
        <v>2222</v>
      </c>
      <c r="G467" s="18" t="s">
        <v>2252</v>
      </c>
      <c r="H467" s="18">
        <v>39173990</v>
      </c>
      <c r="I467" s="17">
        <v>0.18</v>
      </c>
      <c r="J467" s="18" t="s">
        <v>2932</v>
      </c>
    </row>
    <row r="468" spans="1:10" ht="12.75" customHeight="1" x14ac:dyDescent="0.3">
      <c r="A468" s="34" t="s">
        <v>718</v>
      </c>
      <c r="B468" s="23" t="s">
        <v>2076</v>
      </c>
      <c r="C468" s="13" t="s">
        <v>719</v>
      </c>
      <c r="D468" s="18">
        <v>40</v>
      </c>
      <c r="E468" s="15">
        <v>508</v>
      </c>
      <c r="F468" s="23" t="s">
        <v>720</v>
      </c>
      <c r="G468" s="18" t="s">
        <v>1888</v>
      </c>
      <c r="H468" s="16">
        <v>74122090</v>
      </c>
      <c r="I468" s="17">
        <v>0.18</v>
      </c>
      <c r="J468" s="18" t="s">
        <v>2653</v>
      </c>
    </row>
    <row r="469" spans="1:10" ht="13" x14ac:dyDescent="0.3">
      <c r="A469" s="34" t="s">
        <v>172</v>
      </c>
      <c r="B469" s="23" t="s">
        <v>2077</v>
      </c>
      <c r="C469" s="13" t="s">
        <v>721</v>
      </c>
      <c r="D469" s="18">
        <v>40</v>
      </c>
      <c r="E469" s="15">
        <v>584</v>
      </c>
      <c r="F469" s="23" t="s">
        <v>720</v>
      </c>
      <c r="G469" s="18" t="s">
        <v>1888</v>
      </c>
      <c r="H469" s="16">
        <v>74122090</v>
      </c>
      <c r="I469" s="17">
        <v>0.18</v>
      </c>
      <c r="J469" s="18" t="s">
        <v>2653</v>
      </c>
    </row>
    <row r="470" spans="1:10" ht="13" x14ac:dyDescent="0.3">
      <c r="A470" s="34" t="s">
        <v>173</v>
      </c>
      <c r="B470" s="23" t="s">
        <v>2078</v>
      </c>
      <c r="C470" s="13" t="s">
        <v>722</v>
      </c>
      <c r="D470" s="18">
        <v>30</v>
      </c>
      <c r="E470" s="15">
        <v>690</v>
      </c>
      <c r="F470" s="23" t="s">
        <v>720</v>
      </c>
      <c r="G470" s="18" t="s">
        <v>1888</v>
      </c>
      <c r="H470" s="16">
        <v>74122090</v>
      </c>
      <c r="I470" s="17">
        <v>0.18</v>
      </c>
      <c r="J470" s="18" t="s">
        <v>2653</v>
      </c>
    </row>
    <row r="471" spans="1:10" ht="13" x14ac:dyDescent="0.3">
      <c r="A471" s="34" t="s">
        <v>174</v>
      </c>
      <c r="B471" s="23" t="s">
        <v>2079</v>
      </c>
      <c r="C471" s="13" t="s">
        <v>723</v>
      </c>
      <c r="D471" s="18">
        <v>20</v>
      </c>
      <c r="E471" s="15">
        <v>802</v>
      </c>
      <c r="F471" s="23" t="s">
        <v>720</v>
      </c>
      <c r="G471" s="18" t="s">
        <v>1888</v>
      </c>
      <c r="H471" s="16">
        <v>74122090</v>
      </c>
      <c r="I471" s="17">
        <v>0.18</v>
      </c>
      <c r="J471" s="18" t="s">
        <v>2653</v>
      </c>
    </row>
    <row r="472" spans="1:10" ht="13" x14ac:dyDescent="0.3">
      <c r="A472" s="34" t="s">
        <v>175</v>
      </c>
      <c r="B472" s="23" t="s">
        <v>2080</v>
      </c>
      <c r="C472" s="13" t="s">
        <v>724</v>
      </c>
      <c r="D472" s="18">
        <v>20</v>
      </c>
      <c r="E472" s="15">
        <v>892</v>
      </c>
      <c r="F472" s="23" t="s">
        <v>720</v>
      </c>
      <c r="G472" s="18" t="s">
        <v>1888</v>
      </c>
      <c r="H472" s="16">
        <v>74122090</v>
      </c>
      <c r="I472" s="17">
        <v>0.18</v>
      </c>
      <c r="J472" s="18" t="s">
        <v>2653</v>
      </c>
    </row>
    <row r="473" spans="1:10" ht="13" x14ac:dyDescent="0.3">
      <c r="A473" s="34" t="s">
        <v>176</v>
      </c>
      <c r="B473" s="23" t="s">
        <v>2081</v>
      </c>
      <c r="C473" s="13" t="s">
        <v>734</v>
      </c>
      <c r="D473" s="18">
        <v>18</v>
      </c>
      <c r="E473" s="15">
        <v>1348</v>
      </c>
      <c r="F473" s="23" t="s">
        <v>720</v>
      </c>
      <c r="G473" s="18" t="s">
        <v>1888</v>
      </c>
      <c r="H473" s="16">
        <v>74122090</v>
      </c>
      <c r="I473" s="17">
        <v>0.18</v>
      </c>
      <c r="J473" s="18" t="s">
        <v>2653</v>
      </c>
    </row>
    <row r="474" spans="1:10" ht="13" x14ac:dyDescent="0.3">
      <c r="A474" s="34" t="s">
        <v>177</v>
      </c>
      <c r="B474" s="23" t="s">
        <v>2082</v>
      </c>
      <c r="C474" s="13" t="s">
        <v>725</v>
      </c>
      <c r="D474" s="18">
        <v>18</v>
      </c>
      <c r="E474" s="15">
        <v>1115</v>
      </c>
      <c r="F474" s="23" t="s">
        <v>720</v>
      </c>
      <c r="G474" s="18" t="s">
        <v>1888</v>
      </c>
      <c r="H474" s="16">
        <v>74122090</v>
      </c>
      <c r="I474" s="17">
        <v>0.18</v>
      </c>
      <c r="J474" s="18" t="s">
        <v>2653</v>
      </c>
    </row>
    <row r="475" spans="1:10" ht="13" x14ac:dyDescent="0.3">
      <c r="A475" s="34" t="s">
        <v>178</v>
      </c>
      <c r="B475" s="23" t="s">
        <v>2083</v>
      </c>
      <c r="C475" s="13" t="s">
        <v>726</v>
      </c>
      <c r="D475" s="18">
        <v>18</v>
      </c>
      <c r="E475" s="15">
        <v>1260</v>
      </c>
      <c r="F475" s="23" t="s">
        <v>720</v>
      </c>
      <c r="G475" s="18" t="s">
        <v>1888</v>
      </c>
      <c r="H475" s="16">
        <v>74122090</v>
      </c>
      <c r="I475" s="17">
        <v>0.18</v>
      </c>
      <c r="J475" s="18" t="s">
        <v>2653</v>
      </c>
    </row>
    <row r="476" spans="1:10" ht="13" x14ac:dyDescent="0.3">
      <c r="A476" s="34" t="s">
        <v>2457</v>
      </c>
      <c r="B476" s="23" t="s">
        <v>2893</v>
      </c>
      <c r="C476" s="13" t="s">
        <v>2898</v>
      </c>
      <c r="D476" s="18">
        <v>10</v>
      </c>
      <c r="E476" s="15">
        <v>1742</v>
      </c>
      <c r="F476" s="23" t="s">
        <v>720</v>
      </c>
      <c r="G476" s="18" t="s">
        <v>1888</v>
      </c>
      <c r="H476" s="16">
        <v>74122090</v>
      </c>
      <c r="I476" s="17">
        <v>0.18</v>
      </c>
      <c r="J476" s="18" t="s">
        <v>2653</v>
      </c>
    </row>
    <row r="477" spans="1:10" ht="13" x14ac:dyDescent="0.3">
      <c r="A477" s="34" t="s">
        <v>179</v>
      </c>
      <c r="B477" s="23" t="s">
        <v>2223</v>
      </c>
      <c r="C477" s="13" t="s">
        <v>1881</v>
      </c>
      <c r="D477" s="18">
        <v>1</v>
      </c>
      <c r="E477" s="15">
        <v>3749</v>
      </c>
      <c r="F477" s="23" t="s">
        <v>720</v>
      </c>
      <c r="G477" s="18" t="s">
        <v>1888</v>
      </c>
      <c r="H477" s="16">
        <v>74122090</v>
      </c>
      <c r="I477" s="17">
        <v>0.18</v>
      </c>
      <c r="J477" s="18" t="s">
        <v>2653</v>
      </c>
    </row>
    <row r="478" spans="1:10" ht="13" x14ac:dyDescent="0.3">
      <c r="A478" s="34" t="s">
        <v>2458</v>
      </c>
      <c r="B478" s="23" t="s">
        <v>2894</v>
      </c>
      <c r="C478" s="13" t="s">
        <v>1883</v>
      </c>
      <c r="D478" s="18">
        <v>1</v>
      </c>
      <c r="E478" s="15">
        <v>3540</v>
      </c>
      <c r="F478" s="23" t="s">
        <v>720</v>
      </c>
      <c r="G478" s="18" t="s">
        <v>1888</v>
      </c>
      <c r="H478" s="16">
        <v>74122090</v>
      </c>
      <c r="I478" s="17">
        <v>0.18</v>
      </c>
      <c r="J478" s="18" t="s">
        <v>2653</v>
      </c>
    </row>
    <row r="479" spans="1:10" ht="13" x14ac:dyDescent="0.3">
      <c r="A479" s="34" t="s">
        <v>180</v>
      </c>
      <c r="B479" s="23" t="s">
        <v>2084</v>
      </c>
      <c r="C479" s="13" t="s">
        <v>719</v>
      </c>
      <c r="D479" s="18">
        <v>50</v>
      </c>
      <c r="E479" s="15">
        <v>450</v>
      </c>
      <c r="F479" s="23" t="s">
        <v>733</v>
      </c>
      <c r="G479" s="18" t="s">
        <v>1888</v>
      </c>
      <c r="H479" s="16">
        <v>74122090</v>
      </c>
      <c r="I479" s="17">
        <v>0.18</v>
      </c>
      <c r="J479" s="18" t="s">
        <v>2653</v>
      </c>
    </row>
    <row r="480" spans="1:10" ht="13" x14ac:dyDescent="0.3">
      <c r="A480" s="34" t="s">
        <v>181</v>
      </c>
      <c r="B480" s="23" t="s">
        <v>2085</v>
      </c>
      <c r="C480" s="13" t="s">
        <v>721</v>
      </c>
      <c r="D480" s="18">
        <v>40</v>
      </c>
      <c r="E480" s="15">
        <v>517</v>
      </c>
      <c r="F480" s="23" t="s">
        <v>733</v>
      </c>
      <c r="G480" s="18" t="s">
        <v>1888</v>
      </c>
      <c r="H480" s="16">
        <v>74122090</v>
      </c>
      <c r="I480" s="17">
        <v>0.18</v>
      </c>
      <c r="J480" s="18" t="s">
        <v>2653</v>
      </c>
    </row>
    <row r="481" spans="1:10" ht="13" x14ac:dyDescent="0.3">
      <c r="A481" s="34" t="s">
        <v>182</v>
      </c>
      <c r="B481" s="23" t="s">
        <v>2086</v>
      </c>
      <c r="C481" s="13" t="s">
        <v>722</v>
      </c>
      <c r="D481" s="18">
        <v>35</v>
      </c>
      <c r="E481" s="15">
        <v>677</v>
      </c>
      <c r="F481" s="23" t="s">
        <v>733</v>
      </c>
      <c r="G481" s="18" t="s">
        <v>1888</v>
      </c>
      <c r="H481" s="16">
        <v>74122090</v>
      </c>
      <c r="I481" s="17">
        <v>0.18</v>
      </c>
      <c r="J481" s="18" t="s">
        <v>2653</v>
      </c>
    </row>
    <row r="482" spans="1:10" ht="13" x14ac:dyDescent="0.3">
      <c r="A482" s="34" t="s">
        <v>183</v>
      </c>
      <c r="B482" s="23" t="s">
        <v>2087</v>
      </c>
      <c r="C482" s="13" t="s">
        <v>723</v>
      </c>
      <c r="D482" s="18">
        <v>20</v>
      </c>
      <c r="E482" s="15">
        <v>777</v>
      </c>
      <c r="F482" s="23" t="s">
        <v>733</v>
      </c>
      <c r="G482" s="18" t="s">
        <v>1888</v>
      </c>
      <c r="H482" s="16">
        <v>74122090</v>
      </c>
      <c r="I482" s="17">
        <v>0.18</v>
      </c>
      <c r="J482" s="18" t="s">
        <v>2653</v>
      </c>
    </row>
    <row r="483" spans="1:10" ht="13" x14ac:dyDescent="0.3">
      <c r="A483" s="34" t="s">
        <v>184</v>
      </c>
      <c r="B483" s="23" t="s">
        <v>2088</v>
      </c>
      <c r="C483" s="13" t="s">
        <v>724</v>
      </c>
      <c r="D483" s="18">
        <v>20</v>
      </c>
      <c r="E483" s="15">
        <v>877</v>
      </c>
      <c r="F483" s="23" t="s">
        <v>733</v>
      </c>
      <c r="G483" s="18" t="s">
        <v>1888</v>
      </c>
      <c r="H483" s="16">
        <v>74122090</v>
      </c>
      <c r="I483" s="17">
        <v>0.18</v>
      </c>
      <c r="J483" s="18" t="s">
        <v>2653</v>
      </c>
    </row>
    <row r="484" spans="1:10" ht="13" x14ac:dyDescent="0.3">
      <c r="A484" s="34" t="s">
        <v>185</v>
      </c>
      <c r="B484" s="23" t="s">
        <v>2089</v>
      </c>
      <c r="C484" s="13" t="s">
        <v>734</v>
      </c>
      <c r="D484" s="18">
        <v>16</v>
      </c>
      <c r="E484" s="15">
        <v>1162</v>
      </c>
      <c r="F484" s="23" t="s">
        <v>733</v>
      </c>
      <c r="G484" s="18" t="s">
        <v>1888</v>
      </c>
      <c r="H484" s="16">
        <v>74122090</v>
      </c>
      <c r="I484" s="17">
        <v>0.18</v>
      </c>
      <c r="J484" s="18" t="s">
        <v>2653</v>
      </c>
    </row>
    <row r="485" spans="1:10" ht="13" x14ac:dyDescent="0.3">
      <c r="A485" s="34" t="s">
        <v>186</v>
      </c>
      <c r="B485" s="23" t="s">
        <v>2090</v>
      </c>
      <c r="C485" s="13" t="s">
        <v>725</v>
      </c>
      <c r="D485" s="18">
        <v>12</v>
      </c>
      <c r="E485" s="15">
        <v>1099</v>
      </c>
      <c r="F485" s="23" t="s">
        <v>733</v>
      </c>
      <c r="G485" s="18" t="s">
        <v>1888</v>
      </c>
      <c r="H485" s="16">
        <v>74122090</v>
      </c>
      <c r="I485" s="17">
        <v>0.18</v>
      </c>
      <c r="J485" s="18" t="s">
        <v>2653</v>
      </c>
    </row>
    <row r="486" spans="1:10" ht="13" x14ac:dyDescent="0.3">
      <c r="A486" s="34" t="s">
        <v>187</v>
      </c>
      <c r="B486" s="23" t="s">
        <v>2091</v>
      </c>
      <c r="C486" s="13" t="s">
        <v>726</v>
      </c>
      <c r="D486" s="18">
        <v>12</v>
      </c>
      <c r="E486" s="15">
        <v>1099</v>
      </c>
      <c r="F486" s="23" t="s">
        <v>733</v>
      </c>
      <c r="G486" s="18" t="s">
        <v>1888</v>
      </c>
      <c r="H486" s="16">
        <v>74122090</v>
      </c>
      <c r="I486" s="17">
        <v>0.18</v>
      </c>
      <c r="J486" s="18" t="s">
        <v>2653</v>
      </c>
    </row>
    <row r="487" spans="1:10" ht="13" x14ac:dyDescent="0.3">
      <c r="A487" s="34" t="s">
        <v>2459</v>
      </c>
      <c r="B487" s="23" t="s">
        <v>2895</v>
      </c>
      <c r="C487" s="13" t="s">
        <v>2898</v>
      </c>
      <c r="D487" s="18">
        <v>12</v>
      </c>
      <c r="E487" s="15">
        <v>1510</v>
      </c>
      <c r="F487" s="23" t="s">
        <v>733</v>
      </c>
      <c r="G487" s="18" t="s">
        <v>1888</v>
      </c>
      <c r="H487" s="16">
        <v>74122090</v>
      </c>
      <c r="I487" s="17">
        <v>0.18</v>
      </c>
      <c r="J487" s="18" t="s">
        <v>2653</v>
      </c>
    </row>
    <row r="488" spans="1:10" ht="13" x14ac:dyDescent="0.3">
      <c r="A488" s="34" t="s">
        <v>188</v>
      </c>
      <c r="B488" s="23" t="s">
        <v>2092</v>
      </c>
      <c r="C488" s="13" t="s">
        <v>1881</v>
      </c>
      <c r="D488" s="18">
        <v>1</v>
      </c>
      <c r="E488" s="15">
        <v>3737</v>
      </c>
      <c r="F488" s="23" t="s">
        <v>733</v>
      </c>
      <c r="G488" s="18" t="s">
        <v>1888</v>
      </c>
      <c r="H488" s="16">
        <v>74122090</v>
      </c>
      <c r="I488" s="17">
        <v>0.18</v>
      </c>
      <c r="J488" s="18" t="s">
        <v>2653</v>
      </c>
    </row>
    <row r="489" spans="1:10" ht="13" x14ac:dyDescent="0.3">
      <c r="A489" s="34" t="s">
        <v>2460</v>
      </c>
      <c r="B489" s="23" t="s">
        <v>2896</v>
      </c>
      <c r="C489" s="13" t="s">
        <v>1883</v>
      </c>
      <c r="D489" s="18">
        <v>1</v>
      </c>
      <c r="E489" s="15">
        <v>3660</v>
      </c>
      <c r="F489" s="23" t="s">
        <v>733</v>
      </c>
      <c r="G489" s="18" t="s">
        <v>1888</v>
      </c>
      <c r="H489" s="16">
        <v>74122090</v>
      </c>
      <c r="I489" s="17">
        <v>0.18</v>
      </c>
      <c r="J489" s="18" t="s">
        <v>2653</v>
      </c>
    </row>
    <row r="490" spans="1:10" ht="13" x14ac:dyDescent="0.3">
      <c r="A490" s="34" t="s">
        <v>189</v>
      </c>
      <c r="B490" s="23" t="s">
        <v>2093</v>
      </c>
      <c r="C490" s="13" t="s">
        <v>1882</v>
      </c>
      <c r="D490" s="18">
        <v>1</v>
      </c>
      <c r="E490" s="15">
        <v>4863</v>
      </c>
      <c r="F490" s="23" t="s">
        <v>733</v>
      </c>
      <c r="G490" s="18" t="s">
        <v>1888</v>
      </c>
      <c r="H490" s="16">
        <v>74122090</v>
      </c>
      <c r="I490" s="17">
        <v>0.18</v>
      </c>
      <c r="J490" s="18" t="s">
        <v>2653</v>
      </c>
    </row>
    <row r="491" spans="1:10" ht="13" x14ac:dyDescent="0.3">
      <c r="A491" s="34" t="s">
        <v>2461</v>
      </c>
      <c r="B491" s="23" t="s">
        <v>2897</v>
      </c>
      <c r="C491" s="13" t="s">
        <v>991</v>
      </c>
      <c r="D491" s="18">
        <v>1</v>
      </c>
      <c r="E491" s="15">
        <v>5420</v>
      </c>
      <c r="F491" s="23" t="s">
        <v>733</v>
      </c>
      <c r="G491" s="18" t="s">
        <v>1888</v>
      </c>
      <c r="H491" s="16">
        <v>74122090</v>
      </c>
      <c r="I491" s="17">
        <v>0.18</v>
      </c>
      <c r="J491" s="18" t="s">
        <v>2653</v>
      </c>
    </row>
    <row r="492" spans="1:10" ht="13" x14ac:dyDescent="0.3">
      <c r="A492" s="34" t="s">
        <v>190</v>
      </c>
      <c r="B492" s="23" t="s">
        <v>2094</v>
      </c>
      <c r="C492" s="13" t="s">
        <v>729</v>
      </c>
      <c r="D492" s="18">
        <v>1</v>
      </c>
      <c r="E492" s="15">
        <v>9353</v>
      </c>
      <c r="F492" s="23" t="s">
        <v>733</v>
      </c>
      <c r="G492" s="18" t="s">
        <v>1888</v>
      </c>
      <c r="H492" s="16">
        <v>74122090</v>
      </c>
      <c r="I492" s="17">
        <v>0.18</v>
      </c>
      <c r="J492" s="18" t="s">
        <v>2653</v>
      </c>
    </row>
    <row r="493" spans="1:10" ht="13" x14ac:dyDescent="0.3">
      <c r="A493" s="34" t="s">
        <v>191</v>
      </c>
      <c r="B493" s="23" t="s">
        <v>2095</v>
      </c>
      <c r="C493" s="13" t="s">
        <v>730</v>
      </c>
      <c r="D493" s="18">
        <v>1</v>
      </c>
      <c r="E493" s="15">
        <v>15654</v>
      </c>
      <c r="F493" s="23" t="s">
        <v>733</v>
      </c>
      <c r="G493" s="18" t="s">
        <v>1888</v>
      </c>
      <c r="H493" s="16">
        <v>74122090</v>
      </c>
      <c r="I493" s="17">
        <v>0.18</v>
      </c>
      <c r="J493" s="18" t="s">
        <v>2653</v>
      </c>
    </row>
    <row r="494" spans="1:10" s="54" customFormat="1" ht="13" x14ac:dyDescent="0.3">
      <c r="A494" s="34" t="s">
        <v>2096</v>
      </c>
      <c r="B494" s="23" t="s">
        <v>2097</v>
      </c>
      <c r="C494" s="13" t="s">
        <v>731</v>
      </c>
      <c r="D494" s="18">
        <v>1</v>
      </c>
      <c r="E494" s="15">
        <v>47193</v>
      </c>
      <c r="F494" s="12" t="s">
        <v>733</v>
      </c>
      <c r="G494" s="53" t="s">
        <v>1888</v>
      </c>
      <c r="H494" s="16">
        <v>74122090</v>
      </c>
      <c r="I494" s="52">
        <v>0.18</v>
      </c>
      <c r="J494" s="18" t="s">
        <v>2653</v>
      </c>
    </row>
    <row r="495" spans="1:10" s="54" customFormat="1" ht="13" x14ac:dyDescent="0.3">
      <c r="A495" s="34" t="s">
        <v>2098</v>
      </c>
      <c r="B495" s="23" t="s">
        <v>2099</v>
      </c>
      <c r="C495" s="13" t="s">
        <v>732</v>
      </c>
      <c r="D495" s="18">
        <v>1</v>
      </c>
      <c r="E495" s="15">
        <v>60572</v>
      </c>
      <c r="F495" s="12" t="s">
        <v>733</v>
      </c>
      <c r="G495" s="53" t="s">
        <v>1888</v>
      </c>
      <c r="H495" s="16">
        <v>74122090</v>
      </c>
      <c r="I495" s="52">
        <v>0.18</v>
      </c>
      <c r="J495" s="18" t="s">
        <v>2653</v>
      </c>
    </row>
    <row r="496" spans="1:10" ht="13" x14ac:dyDescent="0.3">
      <c r="A496" s="34" t="s">
        <v>192</v>
      </c>
      <c r="B496" s="23" t="s">
        <v>2100</v>
      </c>
      <c r="C496" s="13">
        <v>16</v>
      </c>
      <c r="D496" s="18">
        <v>45</v>
      </c>
      <c r="E496" s="15">
        <v>390</v>
      </c>
      <c r="F496" s="23" t="s">
        <v>735</v>
      </c>
      <c r="G496" s="18" t="s">
        <v>1888</v>
      </c>
      <c r="H496" s="16">
        <v>74122090</v>
      </c>
      <c r="I496" s="17">
        <v>0.18</v>
      </c>
      <c r="J496" s="18" t="s">
        <v>2653</v>
      </c>
    </row>
    <row r="497" spans="1:10" ht="13" x14ac:dyDescent="0.3">
      <c r="A497" s="34" t="s">
        <v>193</v>
      </c>
      <c r="B497" s="23" t="s">
        <v>2101</v>
      </c>
      <c r="C497" s="13">
        <v>20</v>
      </c>
      <c r="D497" s="18">
        <v>36</v>
      </c>
      <c r="E497" s="15">
        <v>542</v>
      </c>
      <c r="F497" s="23" t="s">
        <v>735</v>
      </c>
      <c r="G497" s="18" t="s">
        <v>1888</v>
      </c>
      <c r="H497" s="16">
        <v>74122090</v>
      </c>
      <c r="I497" s="17">
        <v>0.18</v>
      </c>
      <c r="J497" s="18" t="s">
        <v>2653</v>
      </c>
    </row>
    <row r="498" spans="1:10" ht="13" x14ac:dyDescent="0.3">
      <c r="A498" s="34" t="s">
        <v>194</v>
      </c>
      <c r="B498" s="23" t="s">
        <v>2102</v>
      </c>
      <c r="C498" s="13">
        <v>25</v>
      </c>
      <c r="D498" s="18">
        <v>20</v>
      </c>
      <c r="E498" s="15">
        <v>1028</v>
      </c>
      <c r="F498" s="23" t="s">
        <v>735</v>
      </c>
      <c r="G498" s="18" t="s">
        <v>1888</v>
      </c>
      <c r="H498" s="16">
        <v>74122090</v>
      </c>
      <c r="I498" s="17">
        <v>0.18</v>
      </c>
      <c r="J498" s="18" t="s">
        <v>2653</v>
      </c>
    </row>
    <row r="499" spans="1:10" ht="13" x14ac:dyDescent="0.3">
      <c r="A499" s="34" t="s">
        <v>195</v>
      </c>
      <c r="B499" s="23" t="s">
        <v>2103</v>
      </c>
      <c r="C499" s="13">
        <v>32</v>
      </c>
      <c r="D499" s="18">
        <v>12</v>
      </c>
      <c r="E499" s="15">
        <v>1350</v>
      </c>
      <c r="F499" s="23" t="s">
        <v>735</v>
      </c>
      <c r="G499" s="18" t="s">
        <v>1888</v>
      </c>
      <c r="H499" s="16">
        <v>74122090</v>
      </c>
      <c r="I499" s="17">
        <v>0.18</v>
      </c>
      <c r="J499" s="18" t="s">
        <v>2653</v>
      </c>
    </row>
    <row r="500" spans="1:10" ht="13" x14ac:dyDescent="0.3">
      <c r="A500" s="34" t="s">
        <v>196</v>
      </c>
      <c r="B500" s="23" t="s">
        <v>2104</v>
      </c>
      <c r="C500" s="13">
        <v>40</v>
      </c>
      <c r="D500" s="18">
        <v>1</v>
      </c>
      <c r="E500" s="15">
        <v>3617</v>
      </c>
      <c r="F500" s="23" t="s">
        <v>735</v>
      </c>
      <c r="G500" s="18" t="s">
        <v>1888</v>
      </c>
      <c r="H500" s="16">
        <v>74122090</v>
      </c>
      <c r="I500" s="17">
        <v>0.18</v>
      </c>
      <c r="J500" s="18" t="s">
        <v>2653</v>
      </c>
    </row>
    <row r="501" spans="1:10" ht="13" x14ac:dyDescent="0.3">
      <c r="A501" s="34" t="s">
        <v>197</v>
      </c>
      <c r="B501" s="23" t="s">
        <v>2105</v>
      </c>
      <c r="C501" s="13">
        <v>50</v>
      </c>
      <c r="D501" s="18">
        <v>1</v>
      </c>
      <c r="E501" s="15">
        <v>4305</v>
      </c>
      <c r="F501" s="23" t="s">
        <v>735</v>
      </c>
      <c r="G501" s="18" t="s">
        <v>1888</v>
      </c>
      <c r="H501" s="16">
        <v>74122090</v>
      </c>
      <c r="I501" s="17">
        <v>0.18</v>
      </c>
      <c r="J501" s="18" t="s">
        <v>2653</v>
      </c>
    </row>
    <row r="502" spans="1:10" ht="13" x14ac:dyDescent="0.3">
      <c r="A502" s="34" t="s">
        <v>198</v>
      </c>
      <c r="B502" s="23" t="s">
        <v>2106</v>
      </c>
      <c r="C502" s="13">
        <v>63</v>
      </c>
      <c r="D502" s="18">
        <v>1</v>
      </c>
      <c r="E502" s="15">
        <v>9752</v>
      </c>
      <c r="F502" s="23" t="s">
        <v>735</v>
      </c>
      <c r="G502" s="18" t="s">
        <v>1888</v>
      </c>
      <c r="H502" s="16">
        <v>74122090</v>
      </c>
      <c r="I502" s="17">
        <v>0.18</v>
      </c>
      <c r="J502" s="18" t="s">
        <v>2653</v>
      </c>
    </row>
    <row r="503" spans="1:10" ht="13" x14ac:dyDescent="0.3">
      <c r="A503" s="34" t="s">
        <v>199</v>
      </c>
      <c r="B503" s="23" t="s">
        <v>2107</v>
      </c>
      <c r="C503" s="13">
        <v>75</v>
      </c>
      <c r="D503" s="18">
        <v>1</v>
      </c>
      <c r="E503" s="15">
        <v>14922</v>
      </c>
      <c r="F503" s="23" t="s">
        <v>735</v>
      </c>
      <c r="G503" s="18" t="s">
        <v>1888</v>
      </c>
      <c r="H503" s="16">
        <v>74122090</v>
      </c>
      <c r="I503" s="17">
        <v>0.18</v>
      </c>
      <c r="J503" s="18" t="s">
        <v>2653</v>
      </c>
    </row>
    <row r="504" spans="1:10" ht="13" x14ac:dyDescent="0.3">
      <c r="A504" s="34" t="s">
        <v>2108</v>
      </c>
      <c r="B504" s="23" t="s">
        <v>2109</v>
      </c>
      <c r="C504" s="13">
        <v>90</v>
      </c>
      <c r="D504" s="18">
        <v>1</v>
      </c>
      <c r="E504" s="15">
        <v>75280</v>
      </c>
      <c r="F504" s="23" t="s">
        <v>735</v>
      </c>
      <c r="G504" s="18" t="s">
        <v>1888</v>
      </c>
      <c r="H504" s="16">
        <v>74122090</v>
      </c>
      <c r="I504" s="17">
        <v>0.18</v>
      </c>
      <c r="J504" s="18" t="s">
        <v>2653</v>
      </c>
    </row>
    <row r="505" spans="1:10" ht="13" x14ac:dyDescent="0.3">
      <c r="A505" s="34" t="s">
        <v>2110</v>
      </c>
      <c r="B505" s="23" t="s">
        <v>2111</v>
      </c>
      <c r="C505" s="13">
        <v>110</v>
      </c>
      <c r="D505" s="18">
        <v>1</v>
      </c>
      <c r="E505" s="15">
        <v>111913</v>
      </c>
      <c r="F505" s="23" t="s">
        <v>735</v>
      </c>
      <c r="G505" s="18" t="s">
        <v>1888</v>
      </c>
      <c r="H505" s="16">
        <v>74122090</v>
      </c>
      <c r="I505" s="17">
        <v>0.18</v>
      </c>
      <c r="J505" s="18" t="s">
        <v>2653</v>
      </c>
    </row>
    <row r="506" spans="1:10" ht="13" x14ac:dyDescent="0.3">
      <c r="A506" s="34" t="s">
        <v>200</v>
      </c>
      <c r="B506" s="23" t="s">
        <v>2112</v>
      </c>
      <c r="C506" s="13" t="s">
        <v>736</v>
      </c>
      <c r="D506" s="18">
        <v>37</v>
      </c>
      <c r="E506" s="15">
        <v>490</v>
      </c>
      <c r="F506" s="23" t="s">
        <v>2464</v>
      </c>
      <c r="G506" s="18" t="s">
        <v>1888</v>
      </c>
      <c r="H506" s="16">
        <v>74122090</v>
      </c>
      <c r="I506" s="17">
        <v>0.18</v>
      </c>
      <c r="J506" s="18" t="s">
        <v>2653</v>
      </c>
    </row>
    <row r="507" spans="1:10" ht="13" x14ac:dyDescent="0.3">
      <c r="A507" s="34" t="s">
        <v>201</v>
      </c>
      <c r="B507" s="23" t="s">
        <v>2113</v>
      </c>
      <c r="C507" s="13" t="s">
        <v>737</v>
      </c>
      <c r="D507" s="18">
        <v>20</v>
      </c>
      <c r="E507" s="15">
        <v>747</v>
      </c>
      <c r="F507" s="23" t="s">
        <v>2464</v>
      </c>
      <c r="G507" s="18" t="s">
        <v>1888</v>
      </c>
      <c r="H507" s="16">
        <v>74122090</v>
      </c>
      <c r="I507" s="17">
        <v>0.18</v>
      </c>
      <c r="J507" s="18" t="s">
        <v>2653</v>
      </c>
    </row>
    <row r="508" spans="1:10" ht="13" x14ac:dyDescent="0.3">
      <c r="A508" s="34" t="s">
        <v>202</v>
      </c>
      <c r="B508" s="23" t="s">
        <v>2114</v>
      </c>
      <c r="C508" s="13" t="s">
        <v>738</v>
      </c>
      <c r="D508" s="18">
        <v>20</v>
      </c>
      <c r="E508" s="15">
        <v>797</v>
      </c>
      <c r="F508" s="23" t="s">
        <v>2464</v>
      </c>
      <c r="G508" s="18" t="s">
        <v>1888</v>
      </c>
      <c r="H508" s="16">
        <v>74122090</v>
      </c>
      <c r="I508" s="17">
        <v>0.18</v>
      </c>
      <c r="J508" s="18" t="s">
        <v>2653</v>
      </c>
    </row>
    <row r="509" spans="1:10" ht="13" x14ac:dyDescent="0.3">
      <c r="A509" s="34" t="s">
        <v>203</v>
      </c>
      <c r="B509" s="23" t="s">
        <v>2115</v>
      </c>
      <c r="C509" s="13" t="s">
        <v>739</v>
      </c>
      <c r="D509" s="18">
        <v>15</v>
      </c>
      <c r="E509" s="15">
        <v>1065</v>
      </c>
      <c r="F509" s="23" t="s">
        <v>2464</v>
      </c>
      <c r="G509" s="18" t="s">
        <v>1888</v>
      </c>
      <c r="H509" s="16">
        <v>74122090</v>
      </c>
      <c r="I509" s="17">
        <v>0.18</v>
      </c>
      <c r="J509" s="18" t="s">
        <v>2653</v>
      </c>
    </row>
    <row r="510" spans="1:10" ht="13" x14ac:dyDescent="0.3">
      <c r="A510" s="34" t="s">
        <v>204</v>
      </c>
      <c r="B510" s="23" t="s">
        <v>2116</v>
      </c>
      <c r="C510" s="13" t="s">
        <v>740</v>
      </c>
      <c r="D510" s="18">
        <v>12</v>
      </c>
      <c r="E510" s="15">
        <v>1206</v>
      </c>
      <c r="F510" s="23" t="s">
        <v>2464</v>
      </c>
      <c r="G510" s="18" t="s">
        <v>1888</v>
      </c>
      <c r="H510" s="16">
        <v>74122090</v>
      </c>
      <c r="I510" s="17">
        <v>0.18</v>
      </c>
      <c r="J510" s="18" t="s">
        <v>2653</v>
      </c>
    </row>
    <row r="511" spans="1:10" ht="13" x14ac:dyDescent="0.3">
      <c r="A511" s="34" t="s">
        <v>2462</v>
      </c>
      <c r="B511" s="23" t="s">
        <v>2899</v>
      </c>
      <c r="C511" s="13" t="s">
        <v>2463</v>
      </c>
      <c r="D511" s="18">
        <v>1</v>
      </c>
      <c r="E511" s="15">
        <v>2240</v>
      </c>
      <c r="F511" s="23" t="s">
        <v>2464</v>
      </c>
      <c r="G511" s="18" t="s">
        <v>1888</v>
      </c>
      <c r="H511" s="16">
        <v>74122090</v>
      </c>
      <c r="I511" s="17">
        <v>0.18</v>
      </c>
      <c r="J511" s="18" t="s">
        <v>2653</v>
      </c>
    </row>
    <row r="512" spans="1:10" ht="13" x14ac:dyDescent="0.3">
      <c r="A512" s="34" t="s">
        <v>205</v>
      </c>
      <c r="B512" s="23" t="s">
        <v>2117</v>
      </c>
      <c r="C512" s="13" t="s">
        <v>741</v>
      </c>
      <c r="D512" s="18">
        <v>1</v>
      </c>
      <c r="E512" s="15">
        <v>2866</v>
      </c>
      <c r="F512" s="23" t="s">
        <v>2464</v>
      </c>
      <c r="G512" s="18" t="s">
        <v>1888</v>
      </c>
      <c r="H512" s="16">
        <v>74122090</v>
      </c>
      <c r="I512" s="17">
        <v>0.18</v>
      </c>
      <c r="J512" s="18" t="s">
        <v>2653</v>
      </c>
    </row>
    <row r="513" spans="1:10" ht="13" x14ac:dyDescent="0.3">
      <c r="A513" s="34" t="s">
        <v>206</v>
      </c>
      <c r="B513" s="23" t="s">
        <v>2118</v>
      </c>
      <c r="C513" s="13" t="s">
        <v>105</v>
      </c>
      <c r="D513" s="18">
        <v>1</v>
      </c>
      <c r="E513" s="15">
        <v>3034</v>
      </c>
      <c r="F513" s="23" t="s">
        <v>2464</v>
      </c>
      <c r="G513" s="18" t="s">
        <v>1888</v>
      </c>
      <c r="H513" s="16">
        <v>74122090</v>
      </c>
      <c r="I513" s="17">
        <v>0.18</v>
      </c>
      <c r="J513" s="18" t="s">
        <v>2653</v>
      </c>
    </row>
    <row r="514" spans="1:10" ht="13" x14ac:dyDescent="0.3">
      <c r="A514" s="34" t="s">
        <v>207</v>
      </c>
      <c r="B514" s="23" t="s">
        <v>2119</v>
      </c>
      <c r="C514" s="13" t="s">
        <v>927</v>
      </c>
      <c r="D514" s="18">
        <v>1</v>
      </c>
      <c r="E514" s="15">
        <v>4077</v>
      </c>
      <c r="F514" s="23" t="s">
        <v>2464</v>
      </c>
      <c r="G514" s="18" t="s">
        <v>1888</v>
      </c>
      <c r="H514" s="16">
        <v>74122090</v>
      </c>
      <c r="I514" s="17">
        <v>0.18</v>
      </c>
      <c r="J514" s="18" t="s">
        <v>2653</v>
      </c>
    </row>
    <row r="515" spans="1:10" ht="13" x14ac:dyDescent="0.3">
      <c r="A515" s="34" t="s">
        <v>208</v>
      </c>
      <c r="B515" s="23" t="s">
        <v>2120</v>
      </c>
      <c r="C515" s="13" t="s">
        <v>106</v>
      </c>
      <c r="D515" s="18">
        <v>1</v>
      </c>
      <c r="E515" s="15">
        <v>4016</v>
      </c>
      <c r="F515" s="23" t="s">
        <v>2464</v>
      </c>
      <c r="G515" s="18" t="s">
        <v>1888</v>
      </c>
      <c r="H515" s="16">
        <v>74122090</v>
      </c>
      <c r="I515" s="17">
        <v>0.18</v>
      </c>
      <c r="J515" s="18" t="s">
        <v>2653</v>
      </c>
    </row>
    <row r="516" spans="1:10" ht="13" x14ac:dyDescent="0.3">
      <c r="A516" s="34" t="s">
        <v>209</v>
      </c>
      <c r="B516" s="23" t="s">
        <v>2121</v>
      </c>
      <c r="C516" s="13" t="s">
        <v>73</v>
      </c>
      <c r="D516" s="18">
        <v>1</v>
      </c>
      <c r="E516" s="15">
        <v>4737</v>
      </c>
      <c r="F516" s="23" t="s">
        <v>2464</v>
      </c>
      <c r="G516" s="18" t="s">
        <v>1888</v>
      </c>
      <c r="H516" s="16">
        <v>74122090</v>
      </c>
      <c r="I516" s="17">
        <v>0.18</v>
      </c>
      <c r="J516" s="18" t="s">
        <v>2653</v>
      </c>
    </row>
    <row r="517" spans="1:10" ht="13" x14ac:dyDescent="0.3">
      <c r="A517" s="34" t="s">
        <v>210</v>
      </c>
      <c r="B517" s="23" t="s">
        <v>2122</v>
      </c>
      <c r="C517" s="13" t="s">
        <v>742</v>
      </c>
      <c r="D517" s="18">
        <v>1</v>
      </c>
      <c r="E517" s="15">
        <v>10415</v>
      </c>
      <c r="F517" s="23" t="s">
        <v>2464</v>
      </c>
      <c r="G517" s="18" t="s">
        <v>1888</v>
      </c>
      <c r="H517" s="16">
        <v>74122090</v>
      </c>
      <c r="I517" s="17">
        <v>0.18</v>
      </c>
      <c r="J517" s="18" t="s">
        <v>2653</v>
      </c>
    </row>
    <row r="518" spans="1:10" ht="13" x14ac:dyDescent="0.3">
      <c r="A518" s="34" t="s">
        <v>211</v>
      </c>
      <c r="B518" s="23" t="s">
        <v>2123</v>
      </c>
      <c r="C518" s="13" t="s">
        <v>743</v>
      </c>
      <c r="D518" s="18">
        <v>1</v>
      </c>
      <c r="E518" s="15">
        <v>10734</v>
      </c>
      <c r="F518" s="23" t="s">
        <v>2464</v>
      </c>
      <c r="G518" s="18" t="s">
        <v>1888</v>
      </c>
      <c r="H518" s="16">
        <v>74122090</v>
      </c>
      <c r="I518" s="17">
        <v>0.18</v>
      </c>
      <c r="J518" s="18" t="s">
        <v>2653</v>
      </c>
    </row>
    <row r="519" spans="1:10" ht="13" x14ac:dyDescent="0.3">
      <c r="A519" s="34" t="s">
        <v>212</v>
      </c>
      <c r="B519" s="23" t="s">
        <v>2124</v>
      </c>
      <c r="C519" s="13" t="s">
        <v>744</v>
      </c>
      <c r="D519" s="18">
        <v>1</v>
      </c>
      <c r="E519" s="15">
        <v>19895</v>
      </c>
      <c r="F519" s="23" t="s">
        <v>2464</v>
      </c>
      <c r="G519" s="18" t="s">
        <v>1888</v>
      </c>
      <c r="H519" s="16">
        <v>74122090</v>
      </c>
      <c r="I519" s="17">
        <v>0.18</v>
      </c>
      <c r="J519" s="18" t="s">
        <v>2653</v>
      </c>
    </row>
    <row r="520" spans="1:10" ht="13" x14ac:dyDescent="0.3">
      <c r="A520" s="34" t="s">
        <v>213</v>
      </c>
      <c r="B520" s="23" t="s">
        <v>2900</v>
      </c>
      <c r="C520" s="13" t="s">
        <v>719</v>
      </c>
      <c r="D520" s="18">
        <v>40</v>
      </c>
      <c r="E520" s="15">
        <v>620</v>
      </c>
      <c r="F520" s="23" t="s">
        <v>745</v>
      </c>
      <c r="G520" s="18" t="s">
        <v>1888</v>
      </c>
      <c r="H520" s="16">
        <v>74122090</v>
      </c>
      <c r="I520" s="17">
        <v>0.18</v>
      </c>
      <c r="J520" s="18" t="s">
        <v>2653</v>
      </c>
    </row>
    <row r="521" spans="1:10" ht="13" x14ac:dyDescent="0.3">
      <c r="A521" s="34" t="s">
        <v>214</v>
      </c>
      <c r="B521" s="23" t="s">
        <v>2901</v>
      </c>
      <c r="C521" s="13" t="s">
        <v>721</v>
      </c>
      <c r="D521" s="18">
        <v>40</v>
      </c>
      <c r="E521" s="15">
        <v>686</v>
      </c>
      <c r="F521" s="23" t="s">
        <v>745</v>
      </c>
      <c r="G521" s="18" t="s">
        <v>1888</v>
      </c>
      <c r="H521" s="16">
        <v>74122090</v>
      </c>
      <c r="I521" s="17">
        <v>0.18</v>
      </c>
      <c r="J521" s="18" t="s">
        <v>2653</v>
      </c>
    </row>
    <row r="522" spans="1:10" ht="13" x14ac:dyDescent="0.3">
      <c r="A522" s="34" t="s">
        <v>215</v>
      </c>
      <c r="B522" s="23" t="s">
        <v>2902</v>
      </c>
      <c r="C522" s="13" t="s">
        <v>722</v>
      </c>
      <c r="D522" s="18">
        <v>30</v>
      </c>
      <c r="E522" s="15">
        <v>1020</v>
      </c>
      <c r="F522" s="23" t="s">
        <v>745</v>
      </c>
      <c r="G522" s="18" t="s">
        <v>1888</v>
      </c>
      <c r="H522" s="16">
        <v>74122090</v>
      </c>
      <c r="I522" s="17">
        <v>0.18</v>
      </c>
      <c r="J522" s="18" t="s">
        <v>2653</v>
      </c>
    </row>
    <row r="523" spans="1:10" ht="13" x14ac:dyDescent="0.3">
      <c r="A523" s="34" t="s">
        <v>216</v>
      </c>
      <c r="B523" s="23" t="s">
        <v>2903</v>
      </c>
      <c r="C523" s="13" t="s">
        <v>724</v>
      </c>
      <c r="D523" s="18">
        <v>18</v>
      </c>
      <c r="E523" s="15">
        <v>1095</v>
      </c>
      <c r="F523" s="23" t="s">
        <v>745</v>
      </c>
      <c r="G523" s="18" t="s">
        <v>1888</v>
      </c>
      <c r="H523" s="16">
        <v>74122090</v>
      </c>
      <c r="I523" s="17">
        <v>0.18</v>
      </c>
      <c r="J523" s="18" t="s">
        <v>2653</v>
      </c>
    </row>
    <row r="524" spans="1:10" ht="13" x14ac:dyDescent="0.3">
      <c r="A524" s="34" t="s">
        <v>2904</v>
      </c>
      <c r="B524" s="23" t="s">
        <v>2905</v>
      </c>
      <c r="C524" s="13" t="s">
        <v>734</v>
      </c>
      <c r="D524" s="18">
        <v>10</v>
      </c>
      <c r="E524" s="15">
        <v>1513</v>
      </c>
      <c r="F524" s="23" t="s">
        <v>745</v>
      </c>
      <c r="G524" s="18" t="s">
        <v>1888</v>
      </c>
      <c r="H524" s="16">
        <v>74122090</v>
      </c>
      <c r="I524" s="17">
        <v>0.18</v>
      </c>
      <c r="J524" s="18" t="s">
        <v>2653</v>
      </c>
    </row>
    <row r="525" spans="1:10" ht="13" x14ac:dyDescent="0.3">
      <c r="A525" s="34" t="s">
        <v>217</v>
      </c>
      <c r="B525" s="23" t="s">
        <v>2906</v>
      </c>
      <c r="C525" s="13" t="s">
        <v>726</v>
      </c>
      <c r="D525" s="18">
        <v>14</v>
      </c>
      <c r="E525" s="15">
        <v>1655</v>
      </c>
      <c r="F525" s="23" t="s">
        <v>745</v>
      </c>
      <c r="G525" s="18" t="s">
        <v>1888</v>
      </c>
      <c r="H525" s="16">
        <v>74122090</v>
      </c>
      <c r="I525" s="17">
        <v>0.18</v>
      </c>
      <c r="J525" s="18" t="s">
        <v>2653</v>
      </c>
    </row>
    <row r="526" spans="1:10" ht="13" x14ac:dyDescent="0.3">
      <c r="A526" s="34" t="s">
        <v>2907</v>
      </c>
      <c r="B526" s="23" t="s">
        <v>2908</v>
      </c>
      <c r="C526" s="13" t="s">
        <v>2898</v>
      </c>
      <c r="D526" s="18">
        <v>5</v>
      </c>
      <c r="E526" s="15">
        <v>3682</v>
      </c>
      <c r="F526" s="23" t="s">
        <v>745</v>
      </c>
      <c r="G526" s="18" t="s">
        <v>1888</v>
      </c>
      <c r="H526" s="16">
        <v>74122090</v>
      </c>
      <c r="I526" s="17">
        <v>0.18</v>
      </c>
      <c r="J526" s="18" t="s">
        <v>2653</v>
      </c>
    </row>
    <row r="527" spans="1:10" ht="13" x14ac:dyDescent="0.3">
      <c r="A527" s="34" t="s">
        <v>218</v>
      </c>
      <c r="B527" s="23" t="s">
        <v>2125</v>
      </c>
      <c r="C527" s="13">
        <v>16</v>
      </c>
      <c r="D527" s="18">
        <v>32</v>
      </c>
      <c r="E527" s="15">
        <v>474</v>
      </c>
      <c r="F527" s="23" t="s">
        <v>746</v>
      </c>
      <c r="G527" s="18" t="s">
        <v>1888</v>
      </c>
      <c r="H527" s="16">
        <v>74122090</v>
      </c>
      <c r="I527" s="17">
        <v>0.18</v>
      </c>
      <c r="J527" s="18" t="s">
        <v>2653</v>
      </c>
    </row>
    <row r="528" spans="1:10" ht="13" x14ac:dyDescent="0.3">
      <c r="A528" s="34" t="s">
        <v>219</v>
      </c>
      <c r="B528" s="23" t="s">
        <v>2126</v>
      </c>
      <c r="C528" s="13">
        <v>20</v>
      </c>
      <c r="D528" s="18">
        <v>22</v>
      </c>
      <c r="E528" s="15">
        <v>690</v>
      </c>
      <c r="F528" s="23" t="s">
        <v>746</v>
      </c>
      <c r="G528" s="18" t="s">
        <v>1888</v>
      </c>
      <c r="H528" s="16">
        <v>74122090</v>
      </c>
      <c r="I528" s="17">
        <v>0.18</v>
      </c>
      <c r="J528" s="18" t="s">
        <v>2653</v>
      </c>
    </row>
    <row r="529" spans="1:10" ht="13" x14ac:dyDescent="0.3">
      <c r="A529" s="34" t="s">
        <v>220</v>
      </c>
      <c r="B529" s="23" t="s">
        <v>2127</v>
      </c>
      <c r="C529" s="13">
        <v>25</v>
      </c>
      <c r="D529" s="18">
        <v>11</v>
      </c>
      <c r="E529" s="15">
        <v>1257</v>
      </c>
      <c r="F529" s="23" t="s">
        <v>746</v>
      </c>
      <c r="G529" s="18" t="s">
        <v>1888</v>
      </c>
      <c r="H529" s="16">
        <v>74122090</v>
      </c>
      <c r="I529" s="17">
        <v>0.18</v>
      </c>
      <c r="J529" s="18" t="s">
        <v>2653</v>
      </c>
    </row>
    <row r="530" spans="1:10" ht="13" x14ac:dyDescent="0.3">
      <c r="A530" s="34" t="s">
        <v>221</v>
      </c>
      <c r="B530" s="23" t="s">
        <v>2128</v>
      </c>
      <c r="C530" s="13">
        <v>32</v>
      </c>
      <c r="D530" s="18">
        <v>8</v>
      </c>
      <c r="E530" s="15">
        <v>2030</v>
      </c>
      <c r="F530" s="23" t="s">
        <v>746</v>
      </c>
      <c r="G530" s="18" t="s">
        <v>1888</v>
      </c>
      <c r="H530" s="16">
        <v>74122090</v>
      </c>
      <c r="I530" s="17">
        <v>0.18</v>
      </c>
      <c r="J530" s="18" t="s">
        <v>2653</v>
      </c>
    </row>
    <row r="531" spans="1:10" ht="13" x14ac:dyDescent="0.3">
      <c r="A531" s="34" t="s">
        <v>222</v>
      </c>
      <c r="B531" s="23" t="s">
        <v>2129</v>
      </c>
      <c r="C531" s="13">
        <v>40</v>
      </c>
      <c r="D531" s="18">
        <v>1</v>
      </c>
      <c r="E531" s="15">
        <v>5331</v>
      </c>
      <c r="F531" s="23" t="s">
        <v>746</v>
      </c>
      <c r="G531" s="18" t="s">
        <v>1888</v>
      </c>
      <c r="H531" s="16">
        <v>74122090</v>
      </c>
      <c r="I531" s="17">
        <v>0.18</v>
      </c>
      <c r="J531" s="18" t="s">
        <v>2653</v>
      </c>
    </row>
    <row r="532" spans="1:10" ht="13" x14ac:dyDescent="0.3">
      <c r="A532" s="34" t="s">
        <v>223</v>
      </c>
      <c r="B532" s="23" t="s">
        <v>2130</v>
      </c>
      <c r="C532" s="13">
        <v>50</v>
      </c>
      <c r="D532" s="18">
        <v>1</v>
      </c>
      <c r="E532" s="15">
        <v>7281</v>
      </c>
      <c r="F532" s="23" t="s">
        <v>746</v>
      </c>
      <c r="G532" s="18" t="s">
        <v>1888</v>
      </c>
      <c r="H532" s="16">
        <v>74122090</v>
      </c>
      <c r="I532" s="17">
        <v>0.18</v>
      </c>
      <c r="J532" s="18" t="s">
        <v>2653</v>
      </c>
    </row>
    <row r="533" spans="1:10" ht="13" x14ac:dyDescent="0.3">
      <c r="A533" s="34" t="s">
        <v>224</v>
      </c>
      <c r="B533" s="23" t="s">
        <v>2131</v>
      </c>
      <c r="C533" s="13">
        <v>63</v>
      </c>
      <c r="D533" s="18">
        <v>1</v>
      </c>
      <c r="E533" s="15">
        <v>13536</v>
      </c>
      <c r="F533" s="23" t="s">
        <v>746</v>
      </c>
      <c r="G533" s="18" t="s">
        <v>1888</v>
      </c>
      <c r="H533" s="16">
        <v>74122090</v>
      </c>
      <c r="I533" s="17">
        <v>0.18</v>
      </c>
      <c r="J533" s="18" t="s">
        <v>2653</v>
      </c>
    </row>
    <row r="534" spans="1:10" ht="13" x14ac:dyDescent="0.3">
      <c r="A534" s="34" t="s">
        <v>225</v>
      </c>
      <c r="B534" s="23" t="s">
        <v>2132</v>
      </c>
      <c r="C534" s="13">
        <v>75</v>
      </c>
      <c r="D534" s="18">
        <v>1</v>
      </c>
      <c r="E534" s="15">
        <v>20745</v>
      </c>
      <c r="F534" s="23" t="s">
        <v>746</v>
      </c>
      <c r="G534" s="18" t="s">
        <v>1888</v>
      </c>
      <c r="H534" s="16">
        <v>74122090</v>
      </c>
      <c r="I534" s="17">
        <v>0.18</v>
      </c>
      <c r="J534" s="18" t="s">
        <v>2653</v>
      </c>
    </row>
    <row r="535" spans="1:10" ht="13" x14ac:dyDescent="0.3">
      <c r="A535" s="34" t="s">
        <v>2133</v>
      </c>
      <c r="B535" s="23" t="s">
        <v>2909</v>
      </c>
      <c r="C535" s="13">
        <v>90</v>
      </c>
      <c r="D535" s="18">
        <v>1</v>
      </c>
      <c r="E535" s="15">
        <v>126317</v>
      </c>
      <c r="F535" s="23" t="s">
        <v>746</v>
      </c>
      <c r="G535" s="18" t="s">
        <v>1888</v>
      </c>
      <c r="H535" s="16">
        <v>74122090</v>
      </c>
      <c r="I535" s="17">
        <v>0.18</v>
      </c>
      <c r="J535" s="18" t="s">
        <v>2653</v>
      </c>
    </row>
    <row r="536" spans="1:10" ht="13" x14ac:dyDescent="0.3">
      <c r="A536" s="34" t="s">
        <v>226</v>
      </c>
      <c r="B536" s="23" t="s">
        <v>2134</v>
      </c>
      <c r="C536" s="13" t="s">
        <v>719</v>
      </c>
      <c r="D536" s="18">
        <v>30</v>
      </c>
      <c r="E536" s="15">
        <v>680</v>
      </c>
      <c r="F536" s="23" t="s">
        <v>747</v>
      </c>
      <c r="G536" s="18" t="s">
        <v>1888</v>
      </c>
      <c r="H536" s="16">
        <v>74122090</v>
      </c>
      <c r="I536" s="17">
        <v>0.18</v>
      </c>
      <c r="J536" s="18" t="s">
        <v>2653</v>
      </c>
    </row>
    <row r="537" spans="1:10" ht="13" x14ac:dyDescent="0.3">
      <c r="A537" s="34" t="s">
        <v>227</v>
      </c>
      <c r="B537" s="23" t="s">
        <v>2135</v>
      </c>
      <c r="C537" s="13" t="s">
        <v>748</v>
      </c>
      <c r="D537" s="18">
        <v>20</v>
      </c>
      <c r="E537" s="15">
        <v>773</v>
      </c>
      <c r="F537" s="23" t="s">
        <v>747</v>
      </c>
      <c r="G537" s="18" t="s">
        <v>1888</v>
      </c>
      <c r="H537" s="16">
        <v>74122090</v>
      </c>
      <c r="I537" s="17">
        <v>0.18</v>
      </c>
      <c r="J537" s="18" t="s">
        <v>2653</v>
      </c>
    </row>
    <row r="538" spans="1:10" ht="13" x14ac:dyDescent="0.3">
      <c r="A538" s="34" t="s">
        <v>228</v>
      </c>
      <c r="B538" s="23" t="s">
        <v>2136</v>
      </c>
      <c r="C538" s="13" t="s">
        <v>721</v>
      </c>
      <c r="D538" s="18">
        <v>25</v>
      </c>
      <c r="E538" s="15">
        <v>767</v>
      </c>
      <c r="F538" s="23" t="s">
        <v>747</v>
      </c>
      <c r="G538" s="18" t="s">
        <v>1888</v>
      </c>
      <c r="H538" s="16">
        <v>39173990</v>
      </c>
      <c r="I538" s="17">
        <v>0.18</v>
      </c>
      <c r="J538" s="18" t="s">
        <v>2653</v>
      </c>
    </row>
    <row r="539" spans="1:10" ht="13" x14ac:dyDescent="0.3">
      <c r="A539" s="34" t="s">
        <v>229</v>
      </c>
      <c r="B539" s="23" t="s">
        <v>2137</v>
      </c>
      <c r="C539" s="13" t="s">
        <v>722</v>
      </c>
      <c r="D539" s="18">
        <v>20</v>
      </c>
      <c r="E539" s="15">
        <v>844</v>
      </c>
      <c r="F539" s="23" t="s">
        <v>747</v>
      </c>
      <c r="G539" s="18" t="s">
        <v>1888</v>
      </c>
      <c r="H539" s="16">
        <v>39173990</v>
      </c>
      <c r="I539" s="17">
        <v>0.18</v>
      </c>
      <c r="J539" s="18" t="s">
        <v>2653</v>
      </c>
    </row>
    <row r="540" spans="1:10" ht="13" x14ac:dyDescent="0.3">
      <c r="A540" s="34" t="s">
        <v>230</v>
      </c>
      <c r="B540" s="23" t="s">
        <v>2138</v>
      </c>
      <c r="C540" s="13" t="s">
        <v>724</v>
      </c>
      <c r="D540" s="18">
        <v>15</v>
      </c>
      <c r="E540" s="15">
        <v>1171</v>
      </c>
      <c r="F540" s="23" t="s">
        <v>747</v>
      </c>
      <c r="G540" s="18" t="s">
        <v>1888</v>
      </c>
      <c r="H540" s="16">
        <v>39173990</v>
      </c>
      <c r="I540" s="17">
        <v>0.18</v>
      </c>
      <c r="J540" s="18" t="s">
        <v>2653</v>
      </c>
    </row>
    <row r="541" spans="1:10" ht="13" x14ac:dyDescent="0.3">
      <c r="A541" s="34" t="s">
        <v>231</v>
      </c>
      <c r="B541" s="23" t="s">
        <v>2139</v>
      </c>
      <c r="C541" s="13" t="s">
        <v>723</v>
      </c>
      <c r="D541" s="18">
        <v>16</v>
      </c>
      <c r="E541" s="15">
        <v>946</v>
      </c>
      <c r="F541" s="23" t="s">
        <v>747</v>
      </c>
      <c r="G541" s="18" t="s">
        <v>1888</v>
      </c>
      <c r="H541" s="16">
        <v>39173990</v>
      </c>
      <c r="I541" s="17">
        <v>0.18</v>
      </c>
      <c r="J541" s="18" t="s">
        <v>2653</v>
      </c>
    </row>
    <row r="542" spans="1:10" ht="13" x14ac:dyDescent="0.3">
      <c r="A542" s="34" t="s">
        <v>232</v>
      </c>
      <c r="B542" s="23" t="s">
        <v>2140</v>
      </c>
      <c r="C542" s="13" t="s">
        <v>734</v>
      </c>
      <c r="D542" s="18">
        <v>10</v>
      </c>
      <c r="E542" s="15">
        <v>1756</v>
      </c>
      <c r="F542" s="23" t="s">
        <v>747</v>
      </c>
      <c r="G542" s="18" t="s">
        <v>1888</v>
      </c>
      <c r="H542" s="16">
        <v>74122090</v>
      </c>
      <c r="I542" s="17">
        <v>0.18</v>
      </c>
      <c r="J542" s="18" t="s">
        <v>2653</v>
      </c>
    </row>
    <row r="543" spans="1:10" ht="13" x14ac:dyDescent="0.3">
      <c r="A543" s="34" t="s">
        <v>233</v>
      </c>
      <c r="B543" s="23" t="s">
        <v>2141</v>
      </c>
      <c r="C543" s="13" t="s">
        <v>725</v>
      </c>
      <c r="D543" s="18">
        <v>12</v>
      </c>
      <c r="E543" s="15">
        <v>1640</v>
      </c>
      <c r="F543" s="23" t="s">
        <v>747</v>
      </c>
      <c r="G543" s="18" t="s">
        <v>1888</v>
      </c>
      <c r="H543" s="16">
        <v>74122090</v>
      </c>
      <c r="I543" s="17">
        <v>0.18</v>
      </c>
      <c r="J543" s="18" t="s">
        <v>2653</v>
      </c>
    </row>
    <row r="544" spans="1:10" ht="13" x14ac:dyDescent="0.3">
      <c r="A544" s="34" t="s">
        <v>234</v>
      </c>
      <c r="B544" s="23" t="s">
        <v>2142</v>
      </c>
      <c r="C544" s="13" t="s">
        <v>726</v>
      </c>
      <c r="D544" s="18">
        <v>8</v>
      </c>
      <c r="E544" s="15">
        <v>1782</v>
      </c>
      <c r="F544" s="23" t="s">
        <v>747</v>
      </c>
      <c r="G544" s="18" t="s">
        <v>1888</v>
      </c>
      <c r="H544" s="16">
        <v>74122090</v>
      </c>
      <c r="I544" s="17">
        <v>0.18</v>
      </c>
      <c r="J544" s="18" t="s">
        <v>2653</v>
      </c>
    </row>
    <row r="545" spans="1:10" ht="13" x14ac:dyDescent="0.3">
      <c r="A545" s="34" t="s">
        <v>235</v>
      </c>
      <c r="B545" s="23" t="s">
        <v>2143</v>
      </c>
      <c r="C545" s="13" t="s">
        <v>1883</v>
      </c>
      <c r="D545" s="18">
        <v>1</v>
      </c>
      <c r="E545" s="15">
        <v>4525</v>
      </c>
      <c r="F545" s="23" t="s">
        <v>747</v>
      </c>
      <c r="G545" s="18" t="s">
        <v>1888</v>
      </c>
      <c r="H545" s="16">
        <v>74122090</v>
      </c>
      <c r="I545" s="17">
        <v>0.18</v>
      </c>
      <c r="J545" s="18" t="s">
        <v>2653</v>
      </c>
    </row>
    <row r="546" spans="1:10" ht="13" x14ac:dyDescent="0.3">
      <c r="A546" s="34" t="s">
        <v>236</v>
      </c>
      <c r="B546" s="23" t="s">
        <v>2144</v>
      </c>
      <c r="C546" s="13" t="s">
        <v>1881</v>
      </c>
      <c r="D546" s="18">
        <v>1</v>
      </c>
      <c r="E546" s="15">
        <v>4539</v>
      </c>
      <c r="F546" s="23" t="s">
        <v>747</v>
      </c>
      <c r="G546" s="18" t="s">
        <v>1888</v>
      </c>
      <c r="H546" s="16">
        <v>74122090</v>
      </c>
      <c r="I546" s="17">
        <v>0.18</v>
      </c>
      <c r="J546" s="18" t="s">
        <v>2653</v>
      </c>
    </row>
    <row r="547" spans="1:10" ht="13" x14ac:dyDescent="0.3">
      <c r="A547" s="34" t="s">
        <v>237</v>
      </c>
      <c r="B547" s="23" t="s">
        <v>2145</v>
      </c>
      <c r="C547" s="13" t="s">
        <v>749</v>
      </c>
      <c r="D547" s="18">
        <v>1</v>
      </c>
      <c r="E547" s="15">
        <v>3512</v>
      </c>
      <c r="F547" s="23" t="s">
        <v>747</v>
      </c>
      <c r="G547" s="18" t="s">
        <v>1888</v>
      </c>
      <c r="H547" s="16">
        <v>74122090</v>
      </c>
      <c r="I547" s="17">
        <v>0.18</v>
      </c>
      <c r="J547" s="18" t="s">
        <v>2653</v>
      </c>
    </row>
    <row r="548" spans="1:10" ht="13" x14ac:dyDescent="0.3">
      <c r="A548" s="34" t="s">
        <v>238</v>
      </c>
      <c r="B548" s="23" t="s">
        <v>2146</v>
      </c>
      <c r="C548" s="13" t="s">
        <v>1882</v>
      </c>
      <c r="D548" s="18">
        <v>1</v>
      </c>
      <c r="E548" s="15">
        <v>6267</v>
      </c>
      <c r="F548" s="23" t="s">
        <v>747</v>
      </c>
      <c r="G548" s="18" t="s">
        <v>1888</v>
      </c>
      <c r="H548" s="16">
        <v>74122090</v>
      </c>
      <c r="I548" s="17">
        <v>0.18</v>
      </c>
      <c r="J548" s="18" t="s">
        <v>2653</v>
      </c>
    </row>
    <row r="549" spans="1:10" ht="13" x14ac:dyDescent="0.3">
      <c r="A549" s="34" t="s">
        <v>239</v>
      </c>
      <c r="B549" s="23" t="s">
        <v>2147</v>
      </c>
      <c r="C549" s="13" t="s">
        <v>750</v>
      </c>
      <c r="D549" s="18">
        <v>1</v>
      </c>
      <c r="E549" s="15">
        <v>5460</v>
      </c>
      <c r="F549" s="23" t="s">
        <v>747</v>
      </c>
      <c r="G549" s="18" t="s">
        <v>1888</v>
      </c>
      <c r="H549" s="16">
        <v>74122090</v>
      </c>
      <c r="I549" s="17">
        <v>0.18</v>
      </c>
      <c r="J549" s="18" t="s">
        <v>2653</v>
      </c>
    </row>
    <row r="550" spans="1:10" ht="13" x14ac:dyDescent="0.3">
      <c r="A550" s="34" t="s">
        <v>240</v>
      </c>
      <c r="B550" s="23" t="s">
        <v>2148</v>
      </c>
      <c r="C550" s="13" t="s">
        <v>729</v>
      </c>
      <c r="D550" s="18">
        <v>1</v>
      </c>
      <c r="E550" s="15">
        <v>13097</v>
      </c>
      <c r="F550" s="23" t="s">
        <v>747</v>
      </c>
      <c r="G550" s="18" t="s">
        <v>1888</v>
      </c>
      <c r="H550" s="16">
        <v>74122090</v>
      </c>
      <c r="I550" s="17">
        <v>0.18</v>
      </c>
      <c r="J550" s="18" t="s">
        <v>2653</v>
      </c>
    </row>
    <row r="551" spans="1:10" ht="13" x14ac:dyDescent="0.3">
      <c r="A551" s="34" t="s">
        <v>241</v>
      </c>
      <c r="B551" s="23" t="s">
        <v>2149</v>
      </c>
      <c r="C551" s="13" t="s">
        <v>1880</v>
      </c>
      <c r="D551" s="18">
        <v>1</v>
      </c>
      <c r="E551" s="15">
        <v>24796</v>
      </c>
      <c r="F551" s="23" t="s">
        <v>747</v>
      </c>
      <c r="G551" s="18" t="s">
        <v>1888</v>
      </c>
      <c r="H551" s="16">
        <v>74122090</v>
      </c>
      <c r="I551" s="17">
        <v>0.18</v>
      </c>
      <c r="J551" s="18" t="s">
        <v>2653</v>
      </c>
    </row>
    <row r="552" spans="1:10" ht="13" x14ac:dyDescent="0.3">
      <c r="A552" s="34" t="s">
        <v>2150</v>
      </c>
      <c r="B552" s="23" t="s">
        <v>2910</v>
      </c>
      <c r="C552" s="13" t="s">
        <v>731</v>
      </c>
      <c r="D552" s="18">
        <v>1</v>
      </c>
      <c r="E552" s="15">
        <v>66414</v>
      </c>
      <c r="F552" s="23" t="s">
        <v>747</v>
      </c>
      <c r="G552" s="18" t="s">
        <v>1888</v>
      </c>
      <c r="H552" s="16">
        <v>74122090</v>
      </c>
      <c r="I552" s="17">
        <v>0.18</v>
      </c>
      <c r="J552" s="18" t="s">
        <v>2653</v>
      </c>
    </row>
    <row r="553" spans="1:10" ht="13" x14ac:dyDescent="0.3">
      <c r="A553" s="34" t="s">
        <v>2151</v>
      </c>
      <c r="B553" s="23" t="s">
        <v>2911</v>
      </c>
      <c r="C553" s="13" t="s">
        <v>732</v>
      </c>
      <c r="D553" s="18">
        <v>1</v>
      </c>
      <c r="E553" s="15">
        <v>86957</v>
      </c>
      <c r="F553" s="23" t="s">
        <v>747</v>
      </c>
      <c r="G553" s="18" t="s">
        <v>1888</v>
      </c>
      <c r="H553" s="16">
        <v>74122090</v>
      </c>
      <c r="I553" s="17">
        <v>0.18</v>
      </c>
      <c r="J553" s="18" t="s">
        <v>2653</v>
      </c>
    </row>
    <row r="554" spans="1:10" ht="13" x14ac:dyDescent="0.3">
      <c r="A554" s="34" t="s">
        <v>242</v>
      </c>
      <c r="B554" s="23" t="s">
        <v>2152</v>
      </c>
      <c r="C554" s="13" t="s">
        <v>719</v>
      </c>
      <c r="D554" s="18">
        <v>30</v>
      </c>
      <c r="E554" s="15">
        <v>658</v>
      </c>
      <c r="F554" s="23" t="s">
        <v>751</v>
      </c>
      <c r="G554" s="18" t="s">
        <v>1888</v>
      </c>
      <c r="H554" s="16">
        <v>74122090</v>
      </c>
      <c r="I554" s="17">
        <v>0.18</v>
      </c>
      <c r="J554" s="18" t="s">
        <v>2653</v>
      </c>
    </row>
    <row r="555" spans="1:10" ht="13" x14ac:dyDescent="0.3">
      <c r="A555" s="34" t="s">
        <v>243</v>
      </c>
      <c r="B555" s="23" t="s">
        <v>2153</v>
      </c>
      <c r="C555" s="13" t="s">
        <v>721</v>
      </c>
      <c r="D555" s="18">
        <v>20</v>
      </c>
      <c r="E555" s="15">
        <v>770</v>
      </c>
      <c r="F555" s="23" t="s">
        <v>751</v>
      </c>
      <c r="G555" s="18" t="s">
        <v>1888</v>
      </c>
      <c r="H555" s="16">
        <v>74122090</v>
      </c>
      <c r="I555" s="17">
        <v>0.18</v>
      </c>
      <c r="J555" s="18" t="s">
        <v>2653</v>
      </c>
    </row>
    <row r="556" spans="1:10" ht="13" x14ac:dyDescent="0.3">
      <c r="A556" s="34" t="s">
        <v>244</v>
      </c>
      <c r="B556" s="23" t="s">
        <v>2154</v>
      </c>
      <c r="C556" s="13" t="s">
        <v>724</v>
      </c>
      <c r="D556" s="18">
        <v>15</v>
      </c>
      <c r="E556" s="15">
        <v>1170</v>
      </c>
      <c r="F556" s="23" t="s">
        <v>751</v>
      </c>
      <c r="G556" s="18" t="s">
        <v>1888</v>
      </c>
      <c r="H556" s="16">
        <v>74122090</v>
      </c>
      <c r="I556" s="17">
        <v>0.18</v>
      </c>
      <c r="J556" s="18" t="s">
        <v>2653</v>
      </c>
    </row>
    <row r="557" spans="1:10" ht="13" x14ac:dyDescent="0.3">
      <c r="A557" s="34" t="s">
        <v>245</v>
      </c>
      <c r="B557" s="23" t="s">
        <v>2155</v>
      </c>
      <c r="C557" s="13" t="s">
        <v>723</v>
      </c>
      <c r="D557" s="18">
        <v>15</v>
      </c>
      <c r="E557" s="15">
        <v>1138</v>
      </c>
      <c r="F557" s="23" t="s">
        <v>751</v>
      </c>
      <c r="G557" s="18" t="s">
        <v>1888</v>
      </c>
      <c r="H557" s="16">
        <v>74122090</v>
      </c>
      <c r="I557" s="17">
        <v>0.18</v>
      </c>
      <c r="J557" s="18" t="s">
        <v>2653</v>
      </c>
    </row>
    <row r="558" spans="1:10" ht="13" x14ac:dyDescent="0.3">
      <c r="A558" s="34" t="s">
        <v>246</v>
      </c>
      <c r="B558" s="23" t="s">
        <v>2156</v>
      </c>
      <c r="C558" s="13" t="s">
        <v>726</v>
      </c>
      <c r="D558" s="18">
        <v>8</v>
      </c>
      <c r="E558" s="15">
        <v>1748</v>
      </c>
      <c r="F558" s="23" t="s">
        <v>751</v>
      </c>
      <c r="G558" s="18" t="s">
        <v>1888</v>
      </c>
      <c r="H558" s="16">
        <v>74122090</v>
      </c>
      <c r="I558" s="17">
        <v>0.18</v>
      </c>
      <c r="J558" s="18" t="s">
        <v>2653</v>
      </c>
    </row>
    <row r="559" spans="1:10" ht="13" x14ac:dyDescent="0.3">
      <c r="A559" s="34" t="s">
        <v>2504</v>
      </c>
      <c r="B559" s="23" t="s">
        <v>2505</v>
      </c>
      <c r="C559" s="13" t="s">
        <v>2053</v>
      </c>
      <c r="D559" s="18">
        <v>1</v>
      </c>
      <c r="E559" s="15">
        <v>31785</v>
      </c>
      <c r="F559" s="23" t="s">
        <v>751</v>
      </c>
      <c r="G559" s="18" t="s">
        <v>1888</v>
      </c>
      <c r="H559" s="16">
        <v>74122090</v>
      </c>
      <c r="I559" s="17">
        <v>0.18</v>
      </c>
      <c r="J559" s="18" t="s">
        <v>2653</v>
      </c>
    </row>
    <row r="560" spans="1:10" ht="13" x14ac:dyDescent="0.3">
      <c r="A560" s="34" t="s">
        <v>2157</v>
      </c>
      <c r="B560" s="23" t="s">
        <v>2158</v>
      </c>
      <c r="C560" s="13" t="s">
        <v>731</v>
      </c>
      <c r="D560" s="18">
        <v>1</v>
      </c>
      <c r="E560" s="15">
        <v>59555</v>
      </c>
      <c r="F560" s="23" t="s">
        <v>751</v>
      </c>
      <c r="G560" s="18" t="s">
        <v>1888</v>
      </c>
      <c r="H560" s="16">
        <v>74122090</v>
      </c>
      <c r="I560" s="17">
        <v>0.18</v>
      </c>
      <c r="J560" s="18" t="s">
        <v>2653</v>
      </c>
    </row>
    <row r="561" spans="1:10" ht="13" x14ac:dyDescent="0.3">
      <c r="A561" s="34" t="s">
        <v>247</v>
      </c>
      <c r="B561" s="23" t="s">
        <v>2159</v>
      </c>
      <c r="C561" s="13" t="s">
        <v>719</v>
      </c>
      <c r="D561" s="18">
        <v>15</v>
      </c>
      <c r="E561" s="15">
        <v>1003</v>
      </c>
      <c r="F561" s="23" t="s">
        <v>752</v>
      </c>
      <c r="G561" s="18" t="s">
        <v>1888</v>
      </c>
      <c r="H561" s="16">
        <v>74122090</v>
      </c>
      <c r="I561" s="17">
        <v>0.18</v>
      </c>
      <c r="J561" s="18" t="s">
        <v>2653</v>
      </c>
    </row>
    <row r="562" spans="1:10" ht="13" x14ac:dyDescent="0.3">
      <c r="A562" s="34" t="s">
        <v>248</v>
      </c>
      <c r="B562" s="23" t="s">
        <v>2160</v>
      </c>
      <c r="C562" s="13" t="s">
        <v>721</v>
      </c>
      <c r="D562" s="18">
        <v>14</v>
      </c>
      <c r="E562" s="15">
        <v>1115</v>
      </c>
      <c r="F562" s="23" t="s">
        <v>752</v>
      </c>
      <c r="G562" s="18" t="s">
        <v>1888</v>
      </c>
      <c r="H562" s="16">
        <v>74122090</v>
      </c>
      <c r="I562" s="17">
        <v>0.18</v>
      </c>
      <c r="J562" s="18" t="s">
        <v>2653</v>
      </c>
    </row>
    <row r="563" spans="1:10" ht="13" x14ac:dyDescent="0.3">
      <c r="A563" s="34" t="s">
        <v>249</v>
      </c>
      <c r="B563" s="23" t="s">
        <v>2161</v>
      </c>
      <c r="C563" s="13" t="s">
        <v>724</v>
      </c>
      <c r="D563" s="18">
        <v>10</v>
      </c>
      <c r="E563" s="15">
        <v>2228</v>
      </c>
      <c r="F563" s="23" t="s">
        <v>752</v>
      </c>
      <c r="G563" s="18" t="s">
        <v>1888</v>
      </c>
      <c r="H563" s="16">
        <v>74122090</v>
      </c>
      <c r="I563" s="17">
        <v>0.18</v>
      </c>
      <c r="J563" s="18" t="s">
        <v>2653</v>
      </c>
    </row>
    <row r="564" spans="1:10" ht="13" x14ac:dyDescent="0.3">
      <c r="A564" s="34" t="s">
        <v>250</v>
      </c>
      <c r="B564" s="23" t="s">
        <v>2162</v>
      </c>
      <c r="C564" s="13" t="s">
        <v>2224</v>
      </c>
      <c r="D564" s="18">
        <v>20</v>
      </c>
      <c r="E564" s="15">
        <v>794</v>
      </c>
      <c r="F564" s="23" t="s">
        <v>753</v>
      </c>
      <c r="G564" s="18" t="s">
        <v>1888</v>
      </c>
      <c r="H564" s="16">
        <v>74122090</v>
      </c>
      <c r="I564" s="17">
        <v>0.18</v>
      </c>
      <c r="J564" s="18" t="s">
        <v>2653</v>
      </c>
    </row>
    <row r="565" spans="1:10" ht="13" x14ac:dyDescent="0.3">
      <c r="A565" s="34" t="s">
        <v>251</v>
      </c>
      <c r="B565" s="23" t="s">
        <v>2163</v>
      </c>
      <c r="C565" s="13" t="s">
        <v>2225</v>
      </c>
      <c r="D565" s="18">
        <v>14</v>
      </c>
      <c r="E565" s="15">
        <v>972</v>
      </c>
      <c r="F565" s="23" t="s">
        <v>753</v>
      </c>
      <c r="G565" s="18" t="s">
        <v>1888</v>
      </c>
      <c r="H565" s="16">
        <v>74122090</v>
      </c>
      <c r="I565" s="17">
        <v>0.18</v>
      </c>
      <c r="J565" s="18" t="s">
        <v>2653</v>
      </c>
    </row>
    <row r="566" spans="1:10" ht="13" x14ac:dyDescent="0.3">
      <c r="A566" s="34" t="s">
        <v>252</v>
      </c>
      <c r="B566" s="23" t="s">
        <v>2164</v>
      </c>
      <c r="C566" s="13" t="s">
        <v>2226</v>
      </c>
      <c r="D566" s="18">
        <v>8</v>
      </c>
      <c r="E566" s="15">
        <v>1780</v>
      </c>
      <c r="F566" s="23" t="s">
        <v>753</v>
      </c>
      <c r="G566" s="18" t="s">
        <v>1888</v>
      </c>
      <c r="H566" s="16">
        <v>74122090</v>
      </c>
      <c r="I566" s="17">
        <v>0.18</v>
      </c>
      <c r="J566" s="18" t="s">
        <v>2653</v>
      </c>
    </row>
    <row r="567" spans="1:10" ht="13" x14ac:dyDescent="0.3">
      <c r="A567" s="34" t="s">
        <v>253</v>
      </c>
      <c r="B567" s="23" t="s">
        <v>2165</v>
      </c>
      <c r="C567" s="13" t="s">
        <v>70</v>
      </c>
      <c r="D567" s="18">
        <v>4</v>
      </c>
      <c r="E567" s="15">
        <v>2525</v>
      </c>
      <c r="F567" s="23" t="s">
        <v>753</v>
      </c>
      <c r="G567" s="18" t="s">
        <v>1888</v>
      </c>
      <c r="H567" s="16">
        <v>74122090</v>
      </c>
      <c r="I567" s="17">
        <v>0.18</v>
      </c>
      <c r="J567" s="18" t="s">
        <v>2653</v>
      </c>
    </row>
    <row r="568" spans="1:10" ht="13" x14ac:dyDescent="0.3">
      <c r="A568" s="34" t="s">
        <v>254</v>
      </c>
      <c r="B568" s="23" t="s">
        <v>2166</v>
      </c>
      <c r="C568" s="13" t="s">
        <v>71</v>
      </c>
      <c r="D568" s="18">
        <v>1</v>
      </c>
      <c r="E568" s="15">
        <v>7460</v>
      </c>
      <c r="F568" s="23" t="s">
        <v>753</v>
      </c>
      <c r="G568" s="18" t="s">
        <v>1888</v>
      </c>
      <c r="H568" s="16">
        <v>74122090</v>
      </c>
      <c r="I568" s="17">
        <v>0.18</v>
      </c>
      <c r="J568" s="18" t="s">
        <v>2653</v>
      </c>
    </row>
    <row r="569" spans="1:10" ht="13" x14ac:dyDescent="0.3">
      <c r="A569" s="34" t="s">
        <v>255</v>
      </c>
      <c r="B569" s="23" t="s">
        <v>2167</v>
      </c>
      <c r="C569" s="13" t="s">
        <v>74</v>
      </c>
      <c r="D569" s="18">
        <v>1</v>
      </c>
      <c r="E569" s="15">
        <v>10284</v>
      </c>
      <c r="F569" s="23" t="s">
        <v>753</v>
      </c>
      <c r="G569" s="18" t="s">
        <v>1888</v>
      </c>
      <c r="H569" s="16">
        <v>74122090</v>
      </c>
      <c r="I569" s="17">
        <v>0.18</v>
      </c>
      <c r="J569" s="18" t="s">
        <v>2653</v>
      </c>
    </row>
    <row r="570" spans="1:10" ht="13" x14ac:dyDescent="0.3">
      <c r="A570" s="34" t="s">
        <v>256</v>
      </c>
      <c r="B570" s="23" t="s">
        <v>2168</v>
      </c>
      <c r="C570" s="13" t="s">
        <v>2227</v>
      </c>
      <c r="D570" s="18">
        <v>1</v>
      </c>
      <c r="E570" s="15">
        <v>19069</v>
      </c>
      <c r="F570" s="23" t="s">
        <v>753</v>
      </c>
      <c r="G570" s="18" t="s">
        <v>1888</v>
      </c>
      <c r="H570" s="16">
        <v>74122090</v>
      </c>
      <c r="I570" s="17">
        <v>0.18</v>
      </c>
      <c r="J570" s="18" t="s">
        <v>2653</v>
      </c>
    </row>
    <row r="571" spans="1:10" ht="13" x14ac:dyDescent="0.3">
      <c r="A571" s="34" t="s">
        <v>257</v>
      </c>
      <c r="B571" s="23" t="s">
        <v>2169</v>
      </c>
      <c r="C571" s="13" t="s">
        <v>78</v>
      </c>
      <c r="D571" s="18">
        <v>1</v>
      </c>
      <c r="E571" s="15">
        <v>27513</v>
      </c>
      <c r="F571" s="23" t="s">
        <v>753</v>
      </c>
      <c r="G571" s="18" t="s">
        <v>1888</v>
      </c>
      <c r="H571" s="16">
        <v>74122090</v>
      </c>
      <c r="I571" s="17">
        <v>0.18</v>
      </c>
      <c r="J571" s="18" t="s">
        <v>2653</v>
      </c>
    </row>
    <row r="572" spans="1:10" ht="13" x14ac:dyDescent="0.3">
      <c r="A572" s="34" t="s">
        <v>2170</v>
      </c>
      <c r="B572" s="23" t="s">
        <v>2171</v>
      </c>
      <c r="C572" s="13" t="s">
        <v>94</v>
      </c>
      <c r="D572" s="18">
        <v>1</v>
      </c>
      <c r="E572" s="15">
        <v>117137</v>
      </c>
      <c r="F572" s="23" t="s">
        <v>753</v>
      </c>
      <c r="G572" s="18" t="s">
        <v>1888</v>
      </c>
      <c r="H572" s="16">
        <v>74122090</v>
      </c>
      <c r="I572" s="17">
        <v>0.18</v>
      </c>
      <c r="J572" s="18" t="s">
        <v>2653</v>
      </c>
    </row>
    <row r="573" spans="1:10" ht="13" x14ac:dyDescent="0.3">
      <c r="A573" s="34" t="s">
        <v>276</v>
      </c>
      <c r="B573" s="23" t="s">
        <v>2172</v>
      </c>
      <c r="C573" s="13" t="s">
        <v>756</v>
      </c>
      <c r="D573" s="18">
        <v>18</v>
      </c>
      <c r="E573" s="15">
        <v>913</v>
      </c>
      <c r="F573" s="23" t="s">
        <v>757</v>
      </c>
      <c r="G573" s="18" t="s">
        <v>1888</v>
      </c>
      <c r="H573" s="16">
        <v>74122090</v>
      </c>
      <c r="I573" s="17">
        <v>0.18</v>
      </c>
      <c r="J573" s="18" t="s">
        <v>2653</v>
      </c>
    </row>
    <row r="574" spans="1:10" ht="13" x14ac:dyDescent="0.3">
      <c r="A574" s="34" t="s">
        <v>277</v>
      </c>
      <c r="B574" s="23" t="s">
        <v>2173</v>
      </c>
      <c r="C574" s="13" t="s">
        <v>758</v>
      </c>
      <c r="D574" s="18">
        <v>10</v>
      </c>
      <c r="E574" s="15">
        <v>1568</v>
      </c>
      <c r="F574" s="23" t="s">
        <v>757</v>
      </c>
      <c r="G574" s="18" t="s">
        <v>1888</v>
      </c>
      <c r="H574" s="16">
        <v>74122090</v>
      </c>
      <c r="I574" s="17">
        <v>0.18</v>
      </c>
      <c r="J574" s="18" t="s">
        <v>2653</v>
      </c>
    </row>
    <row r="575" spans="1:10" ht="13" x14ac:dyDescent="0.3">
      <c r="A575" s="34" t="s">
        <v>278</v>
      </c>
      <c r="B575" s="23" t="s">
        <v>2174</v>
      </c>
      <c r="C575" s="13" t="s">
        <v>759</v>
      </c>
      <c r="D575" s="18">
        <v>20</v>
      </c>
      <c r="E575" s="15">
        <v>788</v>
      </c>
      <c r="F575" s="23" t="s">
        <v>757</v>
      </c>
      <c r="G575" s="18" t="s">
        <v>1888</v>
      </c>
      <c r="H575" s="16">
        <v>74122090</v>
      </c>
      <c r="I575" s="17">
        <v>0.18</v>
      </c>
      <c r="J575" s="18" t="s">
        <v>2653</v>
      </c>
    </row>
    <row r="576" spans="1:10" ht="13" x14ac:dyDescent="0.3">
      <c r="A576" s="34" t="s">
        <v>279</v>
      </c>
      <c r="B576" s="23" t="s">
        <v>2175</v>
      </c>
      <c r="C576" s="13" t="s">
        <v>760</v>
      </c>
      <c r="D576" s="18">
        <v>18</v>
      </c>
      <c r="E576" s="15">
        <v>940</v>
      </c>
      <c r="F576" s="23" t="s">
        <v>757</v>
      </c>
      <c r="G576" s="18" t="s">
        <v>1888</v>
      </c>
      <c r="H576" s="16">
        <v>74122090</v>
      </c>
      <c r="I576" s="17">
        <v>0.18</v>
      </c>
      <c r="J576" s="18" t="s">
        <v>2653</v>
      </c>
    </row>
    <row r="577" spans="1:10" ht="13" x14ac:dyDescent="0.3">
      <c r="A577" s="34" t="s">
        <v>280</v>
      </c>
      <c r="B577" s="23" t="s">
        <v>2176</v>
      </c>
      <c r="C577" s="13" t="s">
        <v>761</v>
      </c>
      <c r="D577" s="18">
        <v>18</v>
      </c>
      <c r="E577" s="15">
        <v>987</v>
      </c>
      <c r="F577" s="23" t="s">
        <v>757</v>
      </c>
      <c r="G577" s="18" t="s">
        <v>1888</v>
      </c>
      <c r="H577" s="16">
        <v>74122090</v>
      </c>
      <c r="I577" s="17">
        <v>0.18</v>
      </c>
      <c r="J577" s="18" t="s">
        <v>2653</v>
      </c>
    </row>
    <row r="578" spans="1:10" ht="13" x14ac:dyDescent="0.3">
      <c r="A578" s="34" t="s">
        <v>281</v>
      </c>
      <c r="B578" s="23" t="s">
        <v>2177</v>
      </c>
      <c r="C578" s="13" t="s">
        <v>762</v>
      </c>
      <c r="D578" s="18">
        <v>10</v>
      </c>
      <c r="E578" s="15">
        <v>1435</v>
      </c>
      <c r="F578" s="23" t="s">
        <v>757</v>
      </c>
      <c r="G578" s="18" t="s">
        <v>1888</v>
      </c>
      <c r="H578" s="16">
        <v>74122090</v>
      </c>
      <c r="I578" s="17">
        <v>0.18</v>
      </c>
      <c r="J578" s="18" t="s">
        <v>2653</v>
      </c>
    </row>
    <row r="579" spans="1:10" ht="13" x14ac:dyDescent="0.3">
      <c r="A579" s="34" t="s">
        <v>282</v>
      </c>
      <c r="B579" s="23" t="s">
        <v>2178</v>
      </c>
      <c r="C579" s="13" t="s">
        <v>763</v>
      </c>
      <c r="D579" s="18">
        <v>12</v>
      </c>
      <c r="E579" s="15">
        <v>1872</v>
      </c>
      <c r="F579" s="23" t="s">
        <v>757</v>
      </c>
      <c r="G579" s="18" t="s">
        <v>1888</v>
      </c>
      <c r="H579" s="16">
        <v>74122090</v>
      </c>
      <c r="I579" s="17">
        <v>0.18</v>
      </c>
      <c r="J579" s="18" t="s">
        <v>2653</v>
      </c>
    </row>
    <row r="580" spans="1:10" ht="13" x14ac:dyDescent="0.3">
      <c r="A580" s="34" t="s">
        <v>283</v>
      </c>
      <c r="B580" s="23" t="s">
        <v>2179</v>
      </c>
      <c r="C580" s="13" t="s">
        <v>764</v>
      </c>
      <c r="D580" s="18">
        <v>10</v>
      </c>
      <c r="E580" s="15">
        <v>1311</v>
      </c>
      <c r="F580" s="23" t="s">
        <v>757</v>
      </c>
      <c r="G580" s="18" t="s">
        <v>1888</v>
      </c>
      <c r="H580" s="16">
        <v>74122090</v>
      </c>
      <c r="I580" s="17">
        <v>0.18</v>
      </c>
      <c r="J580" s="18" t="s">
        <v>2653</v>
      </c>
    </row>
    <row r="581" spans="1:10" ht="13" x14ac:dyDescent="0.3">
      <c r="A581" s="34" t="s">
        <v>284</v>
      </c>
      <c r="B581" s="23" t="s">
        <v>2180</v>
      </c>
      <c r="C581" s="13" t="s">
        <v>765</v>
      </c>
      <c r="D581" s="18">
        <v>10</v>
      </c>
      <c r="E581" s="15">
        <v>1670</v>
      </c>
      <c r="F581" s="23" t="s">
        <v>757</v>
      </c>
      <c r="G581" s="18" t="s">
        <v>1888</v>
      </c>
      <c r="H581" s="16">
        <v>74122090</v>
      </c>
      <c r="I581" s="17">
        <v>0.18</v>
      </c>
      <c r="J581" s="18" t="s">
        <v>2653</v>
      </c>
    </row>
    <row r="582" spans="1:10" ht="13" x14ac:dyDescent="0.3">
      <c r="A582" s="34" t="s">
        <v>285</v>
      </c>
      <c r="B582" s="23" t="s">
        <v>2181</v>
      </c>
      <c r="C582" s="13" t="s">
        <v>766</v>
      </c>
      <c r="D582" s="18">
        <v>12</v>
      </c>
      <c r="E582" s="15">
        <v>1245</v>
      </c>
      <c r="F582" s="23" t="s">
        <v>757</v>
      </c>
      <c r="G582" s="18" t="s">
        <v>1888</v>
      </c>
      <c r="H582" s="16">
        <v>74122090</v>
      </c>
      <c r="I582" s="17">
        <v>0.18</v>
      </c>
      <c r="J582" s="18" t="s">
        <v>2653</v>
      </c>
    </row>
    <row r="583" spans="1:10" ht="13" x14ac:dyDescent="0.3">
      <c r="A583" s="34" t="s">
        <v>286</v>
      </c>
      <c r="B583" s="23" t="s">
        <v>2182</v>
      </c>
      <c r="C583" s="13" t="s">
        <v>767</v>
      </c>
      <c r="D583" s="18">
        <v>10</v>
      </c>
      <c r="E583" s="15">
        <v>1210</v>
      </c>
      <c r="F583" s="23" t="s">
        <v>757</v>
      </c>
      <c r="G583" s="18" t="s">
        <v>1888</v>
      </c>
      <c r="H583" s="16">
        <v>74122090</v>
      </c>
      <c r="I583" s="17">
        <v>0.18</v>
      </c>
      <c r="J583" s="18" t="s">
        <v>2653</v>
      </c>
    </row>
    <row r="584" spans="1:10" ht="13" x14ac:dyDescent="0.3">
      <c r="A584" s="34" t="s">
        <v>287</v>
      </c>
      <c r="B584" s="23" t="s">
        <v>2183</v>
      </c>
      <c r="C584" s="13" t="s">
        <v>768</v>
      </c>
      <c r="D584" s="18">
        <v>8</v>
      </c>
      <c r="E584" s="15">
        <v>1508</v>
      </c>
      <c r="F584" s="23" t="s">
        <v>757</v>
      </c>
      <c r="G584" s="18" t="s">
        <v>1888</v>
      </c>
      <c r="H584" s="16">
        <v>74122090</v>
      </c>
      <c r="I584" s="17">
        <v>0.18</v>
      </c>
      <c r="J584" s="18" t="s">
        <v>2653</v>
      </c>
    </row>
    <row r="585" spans="1:10" ht="13" x14ac:dyDescent="0.3">
      <c r="A585" s="34" t="s">
        <v>288</v>
      </c>
      <c r="B585" s="23" t="s">
        <v>2184</v>
      </c>
      <c r="C585" s="13" t="s">
        <v>769</v>
      </c>
      <c r="D585" s="18">
        <v>7</v>
      </c>
      <c r="E585" s="15">
        <v>1522</v>
      </c>
      <c r="F585" s="23" t="s">
        <v>757</v>
      </c>
      <c r="G585" s="18" t="s">
        <v>1888</v>
      </c>
      <c r="H585" s="16">
        <v>74122090</v>
      </c>
      <c r="I585" s="17">
        <v>0.18</v>
      </c>
      <c r="J585" s="18" t="s">
        <v>2653</v>
      </c>
    </row>
    <row r="586" spans="1:10" ht="13" x14ac:dyDescent="0.3">
      <c r="A586" s="34" t="s">
        <v>289</v>
      </c>
      <c r="B586" s="23" t="s">
        <v>2185</v>
      </c>
      <c r="C586" s="13" t="s">
        <v>770</v>
      </c>
      <c r="D586" s="18">
        <v>7</v>
      </c>
      <c r="E586" s="15">
        <v>2345</v>
      </c>
      <c r="F586" s="23" t="s">
        <v>757</v>
      </c>
      <c r="G586" s="18" t="s">
        <v>1888</v>
      </c>
      <c r="H586" s="16">
        <v>74122090</v>
      </c>
      <c r="I586" s="17">
        <v>0.18</v>
      </c>
      <c r="J586" s="18" t="s">
        <v>2653</v>
      </c>
    </row>
    <row r="587" spans="1:10" ht="13" x14ac:dyDescent="0.3">
      <c r="A587" s="34" t="s">
        <v>290</v>
      </c>
      <c r="B587" s="23" t="s">
        <v>2186</v>
      </c>
      <c r="C587" s="13" t="s">
        <v>771</v>
      </c>
      <c r="D587" s="18">
        <v>8</v>
      </c>
      <c r="E587" s="15">
        <v>1886</v>
      </c>
      <c r="F587" s="23" t="s">
        <v>757</v>
      </c>
      <c r="G587" s="18" t="s">
        <v>1888</v>
      </c>
      <c r="H587" s="16">
        <v>74122090</v>
      </c>
      <c r="I587" s="17">
        <v>0.18</v>
      </c>
      <c r="J587" s="18" t="s">
        <v>2653</v>
      </c>
    </row>
    <row r="588" spans="1:10" ht="13" x14ac:dyDescent="0.3">
      <c r="A588" s="34" t="s">
        <v>291</v>
      </c>
      <c r="B588" s="23" t="s">
        <v>2187</v>
      </c>
      <c r="C588" s="13" t="s">
        <v>772</v>
      </c>
      <c r="D588" s="18">
        <v>7</v>
      </c>
      <c r="E588" s="15">
        <v>1967</v>
      </c>
      <c r="F588" s="23" t="s">
        <v>757</v>
      </c>
      <c r="G588" s="18" t="s">
        <v>1888</v>
      </c>
      <c r="H588" s="16">
        <v>74122090</v>
      </c>
      <c r="I588" s="17">
        <v>0.18</v>
      </c>
      <c r="J588" s="18" t="s">
        <v>2653</v>
      </c>
    </row>
    <row r="589" spans="1:10" ht="13" x14ac:dyDescent="0.3">
      <c r="A589" s="34" t="s">
        <v>292</v>
      </c>
      <c r="B589" s="23" t="s">
        <v>2188</v>
      </c>
      <c r="C589" s="13" t="s">
        <v>773</v>
      </c>
      <c r="D589" s="18">
        <v>6</v>
      </c>
      <c r="E589" s="15">
        <v>3253</v>
      </c>
      <c r="F589" s="23" t="s">
        <v>757</v>
      </c>
      <c r="G589" s="18" t="s">
        <v>1888</v>
      </c>
      <c r="H589" s="16">
        <v>74122090</v>
      </c>
      <c r="I589" s="17">
        <v>0.18</v>
      </c>
      <c r="J589" s="18" t="s">
        <v>2653</v>
      </c>
    </row>
    <row r="590" spans="1:10" ht="13" x14ac:dyDescent="0.3">
      <c r="A590" s="34" t="s">
        <v>293</v>
      </c>
      <c r="B590" s="23" t="s">
        <v>2189</v>
      </c>
      <c r="C590" s="13" t="s">
        <v>774</v>
      </c>
      <c r="D590" s="18">
        <v>6</v>
      </c>
      <c r="E590" s="15">
        <v>2229</v>
      </c>
      <c r="F590" s="23" t="s">
        <v>757</v>
      </c>
      <c r="G590" s="18" t="s">
        <v>1888</v>
      </c>
      <c r="H590" s="16">
        <v>74122090</v>
      </c>
      <c r="I590" s="17">
        <v>0.18</v>
      </c>
      <c r="J590" s="18" t="s">
        <v>2653</v>
      </c>
    </row>
    <row r="591" spans="1:10" ht="13" x14ac:dyDescent="0.3">
      <c r="A591" s="34" t="s">
        <v>2465</v>
      </c>
      <c r="B591" s="23" t="s">
        <v>2510</v>
      </c>
      <c r="C591" s="13" t="s">
        <v>2466</v>
      </c>
      <c r="D591" s="18">
        <v>1</v>
      </c>
      <c r="E591" s="15">
        <v>4509</v>
      </c>
      <c r="F591" s="23" t="s">
        <v>2467</v>
      </c>
      <c r="G591" s="18" t="s">
        <v>1888</v>
      </c>
      <c r="H591" s="16">
        <v>74122090</v>
      </c>
      <c r="I591" s="17">
        <v>0.18</v>
      </c>
      <c r="J591" s="18" t="s">
        <v>2653</v>
      </c>
    </row>
    <row r="592" spans="1:10" ht="13" x14ac:dyDescent="0.3">
      <c r="A592" s="34" t="s">
        <v>294</v>
      </c>
      <c r="B592" s="23" t="s">
        <v>2190</v>
      </c>
      <c r="C592" s="13" t="s">
        <v>775</v>
      </c>
      <c r="D592" s="18">
        <v>1</v>
      </c>
      <c r="E592" s="15">
        <v>5979</v>
      </c>
      <c r="F592" s="23" t="s">
        <v>757</v>
      </c>
      <c r="G592" s="18" t="s">
        <v>1888</v>
      </c>
      <c r="H592" s="16">
        <v>74122090</v>
      </c>
      <c r="I592" s="17">
        <v>0.18</v>
      </c>
      <c r="J592" s="18" t="s">
        <v>2653</v>
      </c>
    </row>
    <row r="593" spans="1:10" ht="13" x14ac:dyDescent="0.3">
      <c r="A593" s="34" t="s">
        <v>295</v>
      </c>
      <c r="B593" s="23" t="s">
        <v>2191</v>
      </c>
      <c r="C593" s="13" t="s">
        <v>776</v>
      </c>
      <c r="D593" s="18">
        <v>1</v>
      </c>
      <c r="E593" s="15">
        <v>6762</v>
      </c>
      <c r="F593" s="23" t="s">
        <v>757</v>
      </c>
      <c r="G593" s="18" t="s">
        <v>1888</v>
      </c>
      <c r="H593" s="16">
        <v>74122090</v>
      </c>
      <c r="I593" s="17">
        <v>0.18</v>
      </c>
      <c r="J593" s="18" t="s">
        <v>2653</v>
      </c>
    </row>
    <row r="594" spans="1:10" ht="13" x14ac:dyDescent="0.3">
      <c r="A594" s="34" t="s">
        <v>296</v>
      </c>
      <c r="B594" s="23" t="s">
        <v>2192</v>
      </c>
      <c r="C594" s="13" t="s">
        <v>777</v>
      </c>
      <c r="D594" s="18">
        <v>1</v>
      </c>
      <c r="E594" s="15">
        <v>7634</v>
      </c>
      <c r="F594" s="23" t="s">
        <v>757</v>
      </c>
      <c r="G594" s="18" t="s">
        <v>1888</v>
      </c>
      <c r="H594" s="16">
        <v>74122090</v>
      </c>
      <c r="I594" s="17">
        <v>0.18</v>
      </c>
      <c r="J594" s="18" t="s">
        <v>2653</v>
      </c>
    </row>
    <row r="595" spans="1:10" ht="13" x14ac:dyDescent="0.3">
      <c r="A595" s="34" t="s">
        <v>297</v>
      </c>
      <c r="B595" s="23" t="s">
        <v>2193</v>
      </c>
      <c r="C595" s="13" t="s">
        <v>778</v>
      </c>
      <c r="D595" s="18">
        <v>1</v>
      </c>
      <c r="E595" s="15">
        <v>9768</v>
      </c>
      <c r="F595" s="23" t="s">
        <v>757</v>
      </c>
      <c r="G595" s="18" t="s">
        <v>1888</v>
      </c>
      <c r="H595" s="16">
        <v>74122090</v>
      </c>
      <c r="I595" s="17">
        <v>0.18</v>
      </c>
      <c r="J595" s="18" t="s">
        <v>2653</v>
      </c>
    </row>
    <row r="596" spans="1:10" ht="13" x14ac:dyDescent="0.3">
      <c r="A596" s="34" t="s">
        <v>298</v>
      </c>
      <c r="B596" s="23" t="s">
        <v>2194</v>
      </c>
      <c r="C596" s="13" t="s">
        <v>779</v>
      </c>
      <c r="D596" s="18">
        <v>1</v>
      </c>
      <c r="E596" s="15">
        <v>14569</v>
      </c>
      <c r="F596" s="23" t="s">
        <v>757</v>
      </c>
      <c r="G596" s="18" t="s">
        <v>1888</v>
      </c>
      <c r="H596" s="16">
        <v>74122090</v>
      </c>
      <c r="I596" s="17">
        <v>0.18</v>
      </c>
      <c r="J596" s="18" t="s">
        <v>2653</v>
      </c>
    </row>
    <row r="597" spans="1:10" ht="13" x14ac:dyDescent="0.3">
      <c r="A597" s="34" t="s">
        <v>299</v>
      </c>
      <c r="B597" s="23" t="s">
        <v>2195</v>
      </c>
      <c r="C597" s="13" t="s">
        <v>780</v>
      </c>
      <c r="D597" s="18">
        <v>1</v>
      </c>
      <c r="E597" s="15">
        <v>15518</v>
      </c>
      <c r="F597" s="23" t="s">
        <v>757</v>
      </c>
      <c r="G597" s="18" t="s">
        <v>1888</v>
      </c>
      <c r="H597" s="16">
        <v>74122090</v>
      </c>
      <c r="I597" s="17">
        <v>0.18</v>
      </c>
      <c r="J597" s="18" t="s">
        <v>2653</v>
      </c>
    </row>
    <row r="598" spans="1:10" ht="13" x14ac:dyDescent="0.3">
      <c r="A598" s="34" t="s">
        <v>300</v>
      </c>
      <c r="B598" s="23" t="s">
        <v>2196</v>
      </c>
      <c r="C598" s="13" t="s">
        <v>781</v>
      </c>
      <c r="D598" s="18">
        <v>1</v>
      </c>
      <c r="E598" s="15">
        <v>32840</v>
      </c>
      <c r="F598" s="23" t="s">
        <v>757</v>
      </c>
      <c r="G598" s="18" t="s">
        <v>1888</v>
      </c>
      <c r="H598" s="16">
        <v>74122090</v>
      </c>
      <c r="I598" s="17">
        <v>0.18</v>
      </c>
      <c r="J598" s="18" t="s">
        <v>2653</v>
      </c>
    </row>
    <row r="599" spans="1:10" ht="13" x14ac:dyDescent="0.3">
      <c r="A599" s="34" t="s">
        <v>263</v>
      </c>
      <c r="B599" s="23" t="s">
        <v>2197</v>
      </c>
      <c r="C599" s="13" t="s">
        <v>719</v>
      </c>
      <c r="D599" s="18">
        <v>16</v>
      </c>
      <c r="E599" s="15">
        <v>929</v>
      </c>
      <c r="F599" s="23" t="s">
        <v>2230</v>
      </c>
      <c r="G599" s="18" t="s">
        <v>1888</v>
      </c>
      <c r="H599" s="16">
        <v>74122090</v>
      </c>
      <c r="I599" s="17">
        <v>0.18</v>
      </c>
      <c r="J599" s="18" t="s">
        <v>2653</v>
      </c>
    </row>
    <row r="600" spans="1:10" ht="13" x14ac:dyDescent="0.3">
      <c r="A600" s="34" t="s">
        <v>264</v>
      </c>
      <c r="B600" s="23" t="s">
        <v>2198</v>
      </c>
      <c r="C600" s="13" t="s">
        <v>721</v>
      </c>
      <c r="D600" s="18">
        <v>15</v>
      </c>
      <c r="E600" s="15">
        <v>1068</v>
      </c>
      <c r="F600" s="23" t="s">
        <v>2230</v>
      </c>
      <c r="G600" s="18" t="s">
        <v>1888</v>
      </c>
      <c r="H600" s="16">
        <v>74122090</v>
      </c>
      <c r="I600" s="17">
        <v>0.18</v>
      </c>
      <c r="J600" s="18" t="s">
        <v>2653</v>
      </c>
    </row>
    <row r="601" spans="1:10" ht="13" x14ac:dyDescent="0.3">
      <c r="A601" s="34" t="s">
        <v>265</v>
      </c>
      <c r="B601" s="23" t="s">
        <v>2199</v>
      </c>
      <c r="C601" s="13" t="s">
        <v>724</v>
      </c>
      <c r="D601" s="18">
        <v>8</v>
      </c>
      <c r="E601" s="15">
        <v>1889</v>
      </c>
      <c r="F601" s="23" t="s">
        <v>2230</v>
      </c>
      <c r="G601" s="18" t="s">
        <v>1888</v>
      </c>
      <c r="H601" s="16">
        <v>74122090</v>
      </c>
      <c r="I601" s="17">
        <v>0.18</v>
      </c>
      <c r="J601" s="18" t="s">
        <v>2653</v>
      </c>
    </row>
    <row r="602" spans="1:10" ht="13" x14ac:dyDescent="0.3">
      <c r="A602" s="34" t="s">
        <v>266</v>
      </c>
      <c r="B602" s="23" t="s">
        <v>2200</v>
      </c>
      <c r="C602" s="13" t="s">
        <v>723</v>
      </c>
      <c r="D602" s="18">
        <v>10</v>
      </c>
      <c r="E602" s="15">
        <v>1379</v>
      </c>
      <c r="F602" s="23" t="s">
        <v>2230</v>
      </c>
      <c r="G602" s="18" t="s">
        <v>1888</v>
      </c>
      <c r="H602" s="16">
        <v>74122090</v>
      </c>
      <c r="I602" s="17">
        <v>0.18</v>
      </c>
      <c r="J602" s="18" t="s">
        <v>2653</v>
      </c>
    </row>
    <row r="603" spans="1:10" ht="13" x14ac:dyDescent="0.3">
      <c r="A603" s="34" t="s">
        <v>267</v>
      </c>
      <c r="B603" s="23" t="s">
        <v>2201</v>
      </c>
      <c r="C603" s="13" t="s">
        <v>726</v>
      </c>
      <c r="D603" s="18">
        <v>4</v>
      </c>
      <c r="E603" s="15">
        <v>3699</v>
      </c>
      <c r="F603" s="23" t="s">
        <v>2230</v>
      </c>
      <c r="G603" s="18" t="s">
        <v>1888</v>
      </c>
      <c r="H603" s="16">
        <v>74122090</v>
      </c>
      <c r="I603" s="17">
        <v>0.18</v>
      </c>
      <c r="J603" s="18" t="s">
        <v>2653</v>
      </c>
    </row>
    <row r="604" spans="1:10" ht="13" x14ac:dyDescent="0.3">
      <c r="A604" s="34" t="s">
        <v>269</v>
      </c>
      <c r="B604" s="23" t="s">
        <v>2202</v>
      </c>
      <c r="C604" s="13" t="s">
        <v>749</v>
      </c>
      <c r="D604" s="18">
        <v>1</v>
      </c>
      <c r="E604" s="15">
        <v>6053</v>
      </c>
      <c r="F604" s="23" t="s">
        <v>2230</v>
      </c>
      <c r="G604" s="18" t="s">
        <v>1888</v>
      </c>
      <c r="H604" s="16">
        <v>74122090</v>
      </c>
      <c r="I604" s="17">
        <v>0.18</v>
      </c>
      <c r="J604" s="18" t="s">
        <v>2653</v>
      </c>
    </row>
    <row r="605" spans="1:10" ht="13" x14ac:dyDescent="0.3">
      <c r="A605" s="34" t="s">
        <v>268</v>
      </c>
      <c r="B605" s="23" t="s">
        <v>2203</v>
      </c>
      <c r="C605" s="13" t="s">
        <v>727</v>
      </c>
      <c r="D605" s="18">
        <v>1</v>
      </c>
      <c r="E605" s="15">
        <v>7232</v>
      </c>
      <c r="F605" s="23" t="s">
        <v>2230</v>
      </c>
      <c r="G605" s="18" t="s">
        <v>1888</v>
      </c>
      <c r="H605" s="16">
        <v>74122090</v>
      </c>
      <c r="I605" s="17">
        <v>0.18</v>
      </c>
      <c r="J605" s="18" t="s">
        <v>2653</v>
      </c>
    </row>
    <row r="606" spans="1:10" ht="13" x14ac:dyDescent="0.3">
      <c r="A606" s="34" t="s">
        <v>271</v>
      </c>
      <c r="B606" s="23" t="s">
        <v>2204</v>
      </c>
      <c r="C606" s="13" t="s">
        <v>750</v>
      </c>
      <c r="D606" s="18">
        <v>1</v>
      </c>
      <c r="E606" s="15">
        <v>8135</v>
      </c>
      <c r="F606" s="23" t="s">
        <v>2230</v>
      </c>
      <c r="G606" s="18" t="s">
        <v>1888</v>
      </c>
      <c r="H606" s="16">
        <v>74122090</v>
      </c>
      <c r="I606" s="17">
        <v>0.18</v>
      </c>
      <c r="J606" s="18" t="s">
        <v>2653</v>
      </c>
    </row>
    <row r="607" spans="1:10" ht="13" x14ac:dyDescent="0.3">
      <c r="A607" s="34" t="s">
        <v>270</v>
      </c>
      <c r="B607" s="23" t="s">
        <v>2205</v>
      </c>
      <c r="C607" s="13" t="s">
        <v>728</v>
      </c>
      <c r="D607" s="18">
        <v>1</v>
      </c>
      <c r="E607" s="15">
        <v>10145</v>
      </c>
      <c r="F607" s="23" t="s">
        <v>2230</v>
      </c>
      <c r="G607" s="18" t="s">
        <v>1888</v>
      </c>
      <c r="H607" s="16">
        <v>74122090</v>
      </c>
      <c r="I607" s="17">
        <v>0.18</v>
      </c>
      <c r="J607" s="18" t="s">
        <v>2653</v>
      </c>
    </row>
    <row r="608" spans="1:10" ht="13" x14ac:dyDescent="0.3">
      <c r="A608" s="34" t="s">
        <v>273</v>
      </c>
      <c r="B608" s="23" t="s">
        <v>2206</v>
      </c>
      <c r="C608" s="13" t="s">
        <v>754</v>
      </c>
      <c r="D608" s="18">
        <v>1</v>
      </c>
      <c r="E608" s="15">
        <v>14569</v>
      </c>
      <c r="F608" s="23" t="s">
        <v>2230</v>
      </c>
      <c r="G608" s="18" t="s">
        <v>1888</v>
      </c>
      <c r="H608" s="16">
        <v>74122090</v>
      </c>
      <c r="I608" s="17">
        <v>0.18</v>
      </c>
      <c r="J608" s="18" t="s">
        <v>2653</v>
      </c>
    </row>
    <row r="609" spans="1:10" ht="13" x14ac:dyDescent="0.3">
      <c r="A609" s="34" t="s">
        <v>272</v>
      </c>
      <c r="B609" s="23" t="s">
        <v>2207</v>
      </c>
      <c r="C609" s="13" t="s">
        <v>729</v>
      </c>
      <c r="D609" s="18">
        <v>1</v>
      </c>
      <c r="E609" s="15">
        <v>17775</v>
      </c>
      <c r="F609" s="23" t="s">
        <v>2230</v>
      </c>
      <c r="G609" s="18" t="s">
        <v>1888</v>
      </c>
      <c r="H609" s="16">
        <v>74122090</v>
      </c>
      <c r="I609" s="17">
        <v>0.18</v>
      </c>
      <c r="J609" s="18" t="s">
        <v>2653</v>
      </c>
    </row>
    <row r="610" spans="1:10" ht="13" x14ac:dyDescent="0.3">
      <c r="A610" s="34" t="s">
        <v>274</v>
      </c>
      <c r="B610" s="23" t="s">
        <v>2208</v>
      </c>
      <c r="C610" s="13" t="s">
        <v>755</v>
      </c>
      <c r="D610" s="18">
        <v>1</v>
      </c>
      <c r="E610" s="15">
        <v>19653</v>
      </c>
      <c r="F610" s="23" t="s">
        <v>2230</v>
      </c>
      <c r="G610" s="18" t="s">
        <v>1888</v>
      </c>
      <c r="H610" s="16">
        <v>74122090</v>
      </c>
      <c r="I610" s="17">
        <v>0.18</v>
      </c>
      <c r="J610" s="18" t="s">
        <v>2653</v>
      </c>
    </row>
    <row r="611" spans="1:10" ht="13" x14ac:dyDescent="0.3">
      <c r="A611" s="34" t="s">
        <v>275</v>
      </c>
      <c r="B611" s="23" t="s">
        <v>2209</v>
      </c>
      <c r="C611" s="13" t="s">
        <v>730</v>
      </c>
      <c r="D611" s="18">
        <v>1</v>
      </c>
      <c r="E611" s="15">
        <v>35132</v>
      </c>
      <c r="F611" s="23" t="s">
        <v>2230</v>
      </c>
      <c r="G611" s="18" t="s">
        <v>1888</v>
      </c>
      <c r="H611" s="16">
        <v>74122090</v>
      </c>
      <c r="I611" s="17">
        <v>0.18</v>
      </c>
      <c r="J611" s="18" t="s">
        <v>2653</v>
      </c>
    </row>
    <row r="612" spans="1:10" ht="13" x14ac:dyDescent="0.3">
      <c r="A612" s="34" t="s">
        <v>2210</v>
      </c>
      <c r="B612" s="23" t="s">
        <v>2211</v>
      </c>
      <c r="C612" s="13" t="s">
        <v>731</v>
      </c>
      <c r="D612" s="18">
        <v>1</v>
      </c>
      <c r="E612" s="15">
        <v>103315</v>
      </c>
      <c r="F612" s="23" t="s">
        <v>2230</v>
      </c>
      <c r="G612" s="18" t="s">
        <v>1888</v>
      </c>
      <c r="H612" s="16">
        <v>74122090</v>
      </c>
      <c r="I612" s="17">
        <v>0.18</v>
      </c>
      <c r="J612" s="18" t="s">
        <v>2653</v>
      </c>
    </row>
    <row r="613" spans="1:10" ht="13" x14ac:dyDescent="0.3">
      <c r="A613" s="34" t="s">
        <v>2212</v>
      </c>
      <c r="B613" s="23" t="s">
        <v>2213</v>
      </c>
      <c r="C613" s="13" t="s">
        <v>732</v>
      </c>
      <c r="D613" s="18">
        <v>1</v>
      </c>
      <c r="E613" s="15">
        <v>140523</v>
      </c>
      <c r="F613" s="23" t="s">
        <v>2230</v>
      </c>
      <c r="G613" s="18" t="s">
        <v>1888</v>
      </c>
      <c r="H613" s="16">
        <v>74122090</v>
      </c>
      <c r="I613" s="17">
        <v>0.18</v>
      </c>
      <c r="J613" s="18" t="s">
        <v>2653</v>
      </c>
    </row>
    <row r="614" spans="1:10" ht="13" x14ac:dyDescent="0.3">
      <c r="A614" s="34" t="s">
        <v>258</v>
      </c>
      <c r="B614" s="23" t="s">
        <v>2214</v>
      </c>
      <c r="C614" s="13" t="s">
        <v>719</v>
      </c>
      <c r="D614" s="18">
        <v>16</v>
      </c>
      <c r="E614" s="15">
        <v>929</v>
      </c>
      <c r="F614" s="23" t="s">
        <v>2231</v>
      </c>
      <c r="G614" s="18" t="s">
        <v>1888</v>
      </c>
      <c r="H614" s="16">
        <v>74122090</v>
      </c>
      <c r="I614" s="17">
        <v>0.18</v>
      </c>
      <c r="J614" s="18" t="s">
        <v>2653</v>
      </c>
    </row>
    <row r="615" spans="1:10" ht="13" x14ac:dyDescent="0.3">
      <c r="A615" s="34" t="s">
        <v>259</v>
      </c>
      <c r="B615" s="23" t="s">
        <v>2215</v>
      </c>
      <c r="C615" s="13" t="s">
        <v>721</v>
      </c>
      <c r="D615" s="18">
        <v>15</v>
      </c>
      <c r="E615" s="15">
        <v>1073</v>
      </c>
      <c r="F615" s="23" t="s">
        <v>2231</v>
      </c>
      <c r="G615" s="18" t="s">
        <v>1888</v>
      </c>
      <c r="H615" s="16">
        <v>74122090</v>
      </c>
      <c r="I615" s="17">
        <v>0.18</v>
      </c>
      <c r="J615" s="18" t="s">
        <v>2653</v>
      </c>
    </row>
    <row r="616" spans="1:10" ht="13" x14ac:dyDescent="0.3">
      <c r="A616" s="34" t="s">
        <v>261</v>
      </c>
      <c r="B616" s="23" t="s">
        <v>2216</v>
      </c>
      <c r="C616" s="13" t="s">
        <v>723</v>
      </c>
      <c r="D616" s="18">
        <v>5</v>
      </c>
      <c r="E616" s="15">
        <v>1870</v>
      </c>
      <c r="F616" s="23" t="s">
        <v>2231</v>
      </c>
      <c r="G616" s="18" t="s">
        <v>1888</v>
      </c>
      <c r="H616" s="16">
        <v>74122090</v>
      </c>
      <c r="I616" s="17">
        <v>0.18</v>
      </c>
      <c r="J616" s="18" t="s">
        <v>2653</v>
      </c>
    </row>
    <row r="617" spans="1:10" ht="13" x14ac:dyDescent="0.3">
      <c r="A617" s="34" t="s">
        <v>260</v>
      </c>
      <c r="B617" s="23" t="s">
        <v>2217</v>
      </c>
      <c r="C617" s="13" t="s">
        <v>724</v>
      </c>
      <c r="D617" s="18">
        <v>5</v>
      </c>
      <c r="E617" s="15">
        <v>1890</v>
      </c>
      <c r="F617" s="23" t="s">
        <v>2231</v>
      </c>
      <c r="G617" s="18" t="s">
        <v>1888</v>
      </c>
      <c r="H617" s="16">
        <v>74122090</v>
      </c>
      <c r="I617" s="17">
        <v>0.18</v>
      </c>
      <c r="J617" s="18" t="s">
        <v>2653</v>
      </c>
    </row>
    <row r="618" spans="1:10" ht="13" x14ac:dyDescent="0.3">
      <c r="A618" s="34" t="s">
        <v>262</v>
      </c>
      <c r="B618" s="23" t="s">
        <v>2218</v>
      </c>
      <c r="C618" s="13" t="s">
        <v>726</v>
      </c>
      <c r="D618" s="18">
        <v>4</v>
      </c>
      <c r="E618" s="15">
        <v>3699</v>
      </c>
      <c r="F618" s="23" t="s">
        <v>2231</v>
      </c>
      <c r="G618" s="18" t="s">
        <v>1888</v>
      </c>
      <c r="H618" s="16">
        <v>74122090</v>
      </c>
      <c r="I618" s="17">
        <v>0.18</v>
      </c>
      <c r="J618" s="18" t="s">
        <v>2653</v>
      </c>
    </row>
    <row r="619" spans="1:10" ht="13" x14ac:dyDescent="0.3">
      <c r="A619" s="34" t="s">
        <v>2506</v>
      </c>
      <c r="B619" s="23" t="s">
        <v>2220</v>
      </c>
      <c r="C619" s="13">
        <v>16</v>
      </c>
      <c r="D619" s="18">
        <v>70</v>
      </c>
      <c r="E619" s="15">
        <v>457</v>
      </c>
      <c r="F619" s="23" t="s">
        <v>2246</v>
      </c>
      <c r="G619" s="18" t="s">
        <v>2255</v>
      </c>
      <c r="H619" s="16">
        <v>74122090</v>
      </c>
      <c r="I619" s="17">
        <v>0.18</v>
      </c>
      <c r="J619" s="18" t="s">
        <v>2653</v>
      </c>
    </row>
    <row r="620" spans="1:10" ht="13" x14ac:dyDescent="0.3">
      <c r="A620" s="34" t="s">
        <v>2507</v>
      </c>
      <c r="B620" s="23" t="s">
        <v>1885</v>
      </c>
      <c r="C620" s="13">
        <v>20</v>
      </c>
      <c r="D620" s="18">
        <v>55</v>
      </c>
      <c r="E620" s="15">
        <v>582</v>
      </c>
      <c r="F620" s="23" t="s">
        <v>2246</v>
      </c>
      <c r="G620" s="18" t="s">
        <v>2255</v>
      </c>
      <c r="H620" s="16">
        <v>74122090</v>
      </c>
      <c r="I620" s="17">
        <v>0.18</v>
      </c>
      <c r="J620" s="18" t="s">
        <v>2653</v>
      </c>
    </row>
    <row r="621" spans="1:10" ht="13" x14ac:dyDescent="0.3">
      <c r="A621" s="34" t="s">
        <v>2508</v>
      </c>
      <c r="B621" s="23" t="s">
        <v>1467</v>
      </c>
      <c r="C621" s="13">
        <v>25</v>
      </c>
      <c r="D621" s="18">
        <v>30</v>
      </c>
      <c r="E621" s="15">
        <v>707</v>
      </c>
      <c r="F621" s="23" t="s">
        <v>2246</v>
      </c>
      <c r="G621" s="18" t="s">
        <v>2255</v>
      </c>
      <c r="H621" s="16">
        <v>74122090</v>
      </c>
      <c r="I621" s="17">
        <v>0.18</v>
      </c>
      <c r="J621" s="18" t="s">
        <v>2653</v>
      </c>
    </row>
    <row r="622" spans="1:10" ht="13" x14ac:dyDescent="0.3">
      <c r="A622" s="34" t="s">
        <v>2509</v>
      </c>
      <c r="B622" s="23" t="s">
        <v>2221</v>
      </c>
      <c r="C622" s="13">
        <v>32</v>
      </c>
      <c r="D622" s="18">
        <v>25</v>
      </c>
      <c r="E622" s="15">
        <v>832</v>
      </c>
      <c r="F622" s="23" t="s">
        <v>2246</v>
      </c>
      <c r="G622" s="18" t="s">
        <v>2256</v>
      </c>
      <c r="H622" s="16">
        <v>74122090</v>
      </c>
      <c r="I622" s="17">
        <v>0.18</v>
      </c>
      <c r="J622" s="18" t="s">
        <v>2653</v>
      </c>
    </row>
    <row r="623" spans="1:10" ht="13" x14ac:dyDescent="0.3">
      <c r="A623" s="34" t="s">
        <v>1886</v>
      </c>
      <c r="B623" s="23" t="s">
        <v>1887</v>
      </c>
      <c r="C623" s="13">
        <v>16</v>
      </c>
      <c r="D623" s="18">
        <v>12</v>
      </c>
      <c r="E623" s="15">
        <v>1559</v>
      </c>
      <c r="F623" s="23" t="s">
        <v>2244</v>
      </c>
      <c r="G623" s="18" t="s">
        <v>2253</v>
      </c>
      <c r="H623" s="16">
        <v>74122090</v>
      </c>
      <c r="I623" s="17">
        <v>0.18</v>
      </c>
      <c r="J623" s="18" t="s">
        <v>2653</v>
      </c>
    </row>
    <row r="624" spans="1:10" ht="13" x14ac:dyDescent="0.3">
      <c r="A624" s="34" t="s">
        <v>1889</v>
      </c>
      <c r="B624" s="23" t="s">
        <v>1890</v>
      </c>
      <c r="C624" s="13">
        <v>20</v>
      </c>
      <c r="D624" s="18">
        <v>10</v>
      </c>
      <c r="E624" s="15">
        <v>1683</v>
      </c>
      <c r="F624" s="23" t="s">
        <v>2244</v>
      </c>
      <c r="G624" s="18" t="s">
        <v>2254</v>
      </c>
      <c r="H624" s="16">
        <v>74122090</v>
      </c>
      <c r="I624" s="17">
        <v>0.18</v>
      </c>
      <c r="J624" s="18" t="s">
        <v>2653</v>
      </c>
    </row>
    <row r="625" spans="1:10" ht="13" x14ac:dyDescent="0.3">
      <c r="A625" s="34" t="s">
        <v>1891</v>
      </c>
      <c r="B625" s="23" t="s">
        <v>1892</v>
      </c>
      <c r="C625" s="13">
        <v>25</v>
      </c>
      <c r="D625" s="18">
        <v>6</v>
      </c>
      <c r="E625" s="15">
        <v>3705</v>
      </c>
      <c r="F625" s="23" t="s">
        <v>2244</v>
      </c>
      <c r="G625" s="18" t="s">
        <v>2254</v>
      </c>
      <c r="H625" s="16">
        <v>74122090</v>
      </c>
      <c r="I625" s="17">
        <v>0.18</v>
      </c>
      <c r="J625" s="18" t="s">
        <v>2653</v>
      </c>
    </row>
    <row r="626" spans="1:10" ht="13" x14ac:dyDescent="0.3">
      <c r="A626" s="34" t="s">
        <v>1893</v>
      </c>
      <c r="B626" s="23" t="s">
        <v>1894</v>
      </c>
      <c r="C626" s="13">
        <v>32</v>
      </c>
      <c r="D626" s="18">
        <v>3</v>
      </c>
      <c r="E626" s="15">
        <v>5082</v>
      </c>
      <c r="F626" s="23" t="s">
        <v>2244</v>
      </c>
      <c r="G626" s="18" t="s">
        <v>2254</v>
      </c>
      <c r="H626" s="16">
        <v>74122090</v>
      </c>
      <c r="I626" s="17">
        <v>0.18</v>
      </c>
      <c r="J626" s="18" t="s">
        <v>2653</v>
      </c>
    </row>
    <row r="627" spans="1:10" ht="13" x14ac:dyDescent="0.3">
      <c r="A627" s="34" t="s">
        <v>301</v>
      </c>
      <c r="B627" s="23" t="s">
        <v>2912</v>
      </c>
      <c r="C627" s="13" t="s">
        <v>508</v>
      </c>
      <c r="D627" s="18">
        <v>1</v>
      </c>
      <c r="E627" s="15">
        <v>4441</v>
      </c>
      <c r="F627" s="23" t="s">
        <v>2234</v>
      </c>
      <c r="G627" s="18" t="s">
        <v>1888</v>
      </c>
      <c r="H627" s="16">
        <v>74122090</v>
      </c>
      <c r="I627" s="17">
        <v>0.18</v>
      </c>
      <c r="J627" s="18" t="s">
        <v>2653</v>
      </c>
    </row>
    <row r="628" spans="1:10" ht="13" x14ac:dyDescent="0.3">
      <c r="A628" s="34" t="s">
        <v>302</v>
      </c>
      <c r="B628" s="23" t="s">
        <v>2912</v>
      </c>
      <c r="C628" s="13" t="s">
        <v>508</v>
      </c>
      <c r="D628" s="18">
        <v>1</v>
      </c>
      <c r="E628" s="15">
        <v>6358</v>
      </c>
      <c r="F628" s="23" t="s">
        <v>2235</v>
      </c>
      <c r="G628" s="18" t="s">
        <v>1888</v>
      </c>
      <c r="H628" s="16">
        <v>74122090</v>
      </c>
      <c r="I628" s="17">
        <v>0.18</v>
      </c>
      <c r="J628" s="18" t="s">
        <v>2653</v>
      </c>
    </row>
    <row r="629" spans="1:10" ht="13" x14ac:dyDescent="0.3">
      <c r="A629" s="34" t="s">
        <v>303</v>
      </c>
      <c r="B629" s="23" t="s">
        <v>2912</v>
      </c>
      <c r="C629" s="13" t="s">
        <v>508</v>
      </c>
      <c r="D629" s="18">
        <v>1</v>
      </c>
      <c r="E629" s="15">
        <v>8470</v>
      </c>
      <c r="F629" s="23" t="s">
        <v>2236</v>
      </c>
      <c r="G629" s="18" t="s">
        <v>1888</v>
      </c>
      <c r="H629" s="16">
        <v>74122090</v>
      </c>
      <c r="I629" s="17">
        <v>0.18</v>
      </c>
      <c r="J629" s="18" t="s">
        <v>2653</v>
      </c>
    </row>
    <row r="630" spans="1:10" ht="13" x14ac:dyDescent="0.3">
      <c r="A630" s="34" t="s">
        <v>304</v>
      </c>
      <c r="B630" s="23" t="s">
        <v>2913</v>
      </c>
      <c r="C630" s="13" t="s">
        <v>508</v>
      </c>
      <c r="D630" s="18">
        <v>1</v>
      </c>
      <c r="E630" s="15">
        <v>5580</v>
      </c>
      <c r="F630" s="23" t="s">
        <v>2233</v>
      </c>
      <c r="G630" s="18" t="s">
        <v>1888</v>
      </c>
      <c r="H630" s="16">
        <v>74122090</v>
      </c>
      <c r="I630" s="17">
        <v>0.18</v>
      </c>
      <c r="J630" s="18" t="s">
        <v>2653</v>
      </c>
    </row>
    <row r="631" spans="1:10" ht="13" x14ac:dyDescent="0.3">
      <c r="A631" s="34" t="s">
        <v>305</v>
      </c>
      <c r="B631" s="23" t="s">
        <v>2913</v>
      </c>
      <c r="C631" s="13" t="s">
        <v>508</v>
      </c>
      <c r="D631" s="18">
        <v>1</v>
      </c>
      <c r="E631" s="15">
        <v>8924</v>
      </c>
      <c r="F631" s="23" t="s">
        <v>2237</v>
      </c>
      <c r="G631" s="18" t="s">
        <v>2253</v>
      </c>
      <c r="H631" s="16">
        <v>74122090</v>
      </c>
      <c r="I631" s="17">
        <v>0.18</v>
      </c>
      <c r="J631" s="18" t="s">
        <v>2653</v>
      </c>
    </row>
    <row r="632" spans="1:10" ht="13" x14ac:dyDescent="0.3">
      <c r="A632" s="34" t="s">
        <v>306</v>
      </c>
      <c r="B632" s="23" t="s">
        <v>2913</v>
      </c>
      <c r="C632" s="13" t="s">
        <v>508</v>
      </c>
      <c r="D632" s="18">
        <v>1</v>
      </c>
      <c r="E632" s="15">
        <v>11735</v>
      </c>
      <c r="F632" s="23" t="s">
        <v>2238</v>
      </c>
      <c r="G632" s="18" t="s">
        <v>2253</v>
      </c>
      <c r="H632" s="16">
        <v>74122090</v>
      </c>
      <c r="I632" s="17">
        <v>0.18</v>
      </c>
      <c r="J632" s="18" t="s">
        <v>2653</v>
      </c>
    </row>
    <row r="633" spans="1:10" ht="13" x14ac:dyDescent="0.3">
      <c r="A633" s="34" t="s">
        <v>307</v>
      </c>
      <c r="B633" s="23" t="s">
        <v>2914</v>
      </c>
      <c r="C633" s="13" t="s">
        <v>508</v>
      </c>
      <c r="D633" s="18">
        <v>1</v>
      </c>
      <c r="E633" s="15">
        <v>5333</v>
      </c>
      <c r="F633" s="23" t="s">
        <v>2232</v>
      </c>
      <c r="G633" s="18" t="s">
        <v>2253</v>
      </c>
      <c r="H633" s="16">
        <v>74122090</v>
      </c>
      <c r="I633" s="17">
        <v>0.18</v>
      </c>
      <c r="J633" s="18" t="s">
        <v>2653</v>
      </c>
    </row>
    <row r="634" spans="1:10" ht="13" x14ac:dyDescent="0.3">
      <c r="A634" s="34" t="s">
        <v>308</v>
      </c>
      <c r="B634" s="23" t="s">
        <v>2914</v>
      </c>
      <c r="C634" s="13" t="s">
        <v>508</v>
      </c>
      <c r="D634" s="18">
        <v>1</v>
      </c>
      <c r="E634" s="15">
        <v>7810</v>
      </c>
      <c r="F634" s="23" t="s">
        <v>2239</v>
      </c>
      <c r="G634" s="18" t="s">
        <v>2253</v>
      </c>
      <c r="H634" s="16">
        <v>74122090</v>
      </c>
      <c r="I634" s="17">
        <v>0.18</v>
      </c>
      <c r="J634" s="18" t="s">
        <v>2653</v>
      </c>
    </row>
    <row r="635" spans="1:10" ht="13" x14ac:dyDescent="0.3">
      <c r="A635" s="34" t="s">
        <v>309</v>
      </c>
      <c r="B635" s="23" t="s">
        <v>2914</v>
      </c>
      <c r="C635" s="13" t="s">
        <v>508</v>
      </c>
      <c r="D635" s="18">
        <v>1</v>
      </c>
      <c r="E635" s="15">
        <v>10214</v>
      </c>
      <c r="F635" s="23" t="s">
        <v>2240</v>
      </c>
      <c r="G635" s="18" t="s">
        <v>2253</v>
      </c>
      <c r="H635" s="16">
        <v>74122090</v>
      </c>
      <c r="I635" s="17">
        <v>0.18</v>
      </c>
      <c r="J635" s="18" t="s">
        <v>2653</v>
      </c>
    </row>
    <row r="636" spans="1:10" ht="13" x14ac:dyDescent="0.3">
      <c r="A636" s="34" t="s">
        <v>310</v>
      </c>
      <c r="B636" s="23" t="s">
        <v>2219</v>
      </c>
      <c r="C636" s="13" t="s">
        <v>782</v>
      </c>
      <c r="D636" s="18">
        <v>1</v>
      </c>
      <c r="E636" s="15">
        <v>533</v>
      </c>
      <c r="F636" s="23" t="s">
        <v>2241</v>
      </c>
      <c r="G636" s="18" t="s">
        <v>2253</v>
      </c>
      <c r="H636" s="16">
        <v>74122090</v>
      </c>
      <c r="I636" s="17">
        <v>0.18</v>
      </c>
      <c r="J636" s="18" t="s">
        <v>2653</v>
      </c>
    </row>
    <row r="637" spans="1:10" ht="13" x14ac:dyDescent="0.3">
      <c r="A637" s="34" t="s">
        <v>311</v>
      </c>
      <c r="B637" s="23" t="s">
        <v>2219</v>
      </c>
      <c r="C637" s="13" t="s">
        <v>783</v>
      </c>
      <c r="D637" s="18">
        <v>1</v>
      </c>
      <c r="E637" s="15">
        <v>692</v>
      </c>
      <c r="F637" s="23" t="s">
        <v>2242</v>
      </c>
      <c r="G637" s="18" t="s">
        <v>2253</v>
      </c>
      <c r="H637" s="16">
        <v>74122090</v>
      </c>
      <c r="I637" s="17">
        <v>0.18</v>
      </c>
      <c r="J637" s="18" t="s">
        <v>2653</v>
      </c>
    </row>
    <row r="638" spans="1:10" ht="13" x14ac:dyDescent="0.3">
      <c r="A638" s="34" t="s">
        <v>312</v>
      </c>
      <c r="B638" s="23" t="s">
        <v>2219</v>
      </c>
      <c r="C638" s="13" t="s">
        <v>784</v>
      </c>
      <c r="D638" s="18">
        <v>1</v>
      </c>
      <c r="E638" s="15">
        <v>678</v>
      </c>
      <c r="F638" s="23" t="s">
        <v>2243</v>
      </c>
      <c r="G638" s="18" t="s">
        <v>2253</v>
      </c>
      <c r="H638" s="16">
        <v>74122090</v>
      </c>
      <c r="I638" s="17">
        <v>0.18</v>
      </c>
      <c r="J638" s="18" t="s">
        <v>2653</v>
      </c>
    </row>
    <row r="639" spans="1:10" ht="13" x14ac:dyDescent="0.3">
      <c r="A639" s="34" t="s">
        <v>2229</v>
      </c>
      <c r="B639" s="23" t="s">
        <v>1446</v>
      </c>
      <c r="C639" s="13" t="s">
        <v>2228</v>
      </c>
      <c r="D639" s="18">
        <v>1</v>
      </c>
      <c r="E639" s="15">
        <v>868</v>
      </c>
      <c r="F639" s="23" t="s">
        <v>2245</v>
      </c>
      <c r="G639" s="18" t="s">
        <v>2255</v>
      </c>
      <c r="H639" s="16">
        <v>74122090</v>
      </c>
      <c r="I639" s="17">
        <v>0.18</v>
      </c>
      <c r="J639" s="18" t="s">
        <v>2653</v>
      </c>
    </row>
    <row r="640" spans="1:10" ht="13" x14ac:dyDescent="0.3">
      <c r="A640" s="34" t="s">
        <v>785</v>
      </c>
      <c r="B640" s="32" t="s">
        <v>2257</v>
      </c>
      <c r="C640" s="13">
        <v>20</v>
      </c>
      <c r="D640" s="18">
        <v>4</v>
      </c>
      <c r="E640" s="15">
        <v>259</v>
      </c>
      <c r="F640" s="32" t="s">
        <v>2257</v>
      </c>
      <c r="G640" s="18" t="s">
        <v>2307</v>
      </c>
      <c r="H640" s="18">
        <v>74122000</v>
      </c>
      <c r="I640" s="17">
        <v>0.18</v>
      </c>
      <c r="J640" s="18" t="s">
        <v>2654</v>
      </c>
    </row>
    <row r="641" spans="1:10" ht="13" x14ac:dyDescent="0.3">
      <c r="A641" s="34" t="s">
        <v>786</v>
      </c>
      <c r="B641" s="32" t="s">
        <v>2258</v>
      </c>
      <c r="C641" s="13">
        <v>25</v>
      </c>
      <c r="D641" s="18">
        <v>4</v>
      </c>
      <c r="E641" s="15">
        <v>389</v>
      </c>
      <c r="F641" s="32" t="s">
        <v>2258</v>
      </c>
      <c r="G641" s="18" t="s">
        <v>2307</v>
      </c>
      <c r="H641" s="18">
        <v>74122000</v>
      </c>
      <c r="I641" s="17">
        <v>0.18</v>
      </c>
      <c r="J641" s="18" t="s">
        <v>2654</v>
      </c>
    </row>
    <row r="642" spans="1:10" ht="13" x14ac:dyDescent="0.3">
      <c r="A642" s="34" t="s">
        <v>787</v>
      </c>
      <c r="B642" s="32" t="s">
        <v>2259</v>
      </c>
      <c r="C642" s="13">
        <v>32</v>
      </c>
      <c r="D642" s="18">
        <v>4</v>
      </c>
      <c r="E642" s="15">
        <v>654</v>
      </c>
      <c r="F642" s="32" t="s">
        <v>2259</v>
      </c>
      <c r="G642" s="18" t="s">
        <v>2307</v>
      </c>
      <c r="H642" s="18">
        <v>74122000</v>
      </c>
      <c r="I642" s="17">
        <v>0.18</v>
      </c>
      <c r="J642" s="18" t="s">
        <v>2654</v>
      </c>
    </row>
    <row r="643" spans="1:10" ht="13" x14ac:dyDescent="0.3">
      <c r="A643" s="34" t="s">
        <v>788</v>
      </c>
      <c r="B643" s="32" t="s">
        <v>2260</v>
      </c>
      <c r="C643" s="13">
        <v>40</v>
      </c>
      <c r="D643" s="18">
        <v>4</v>
      </c>
      <c r="E643" s="15">
        <v>693</v>
      </c>
      <c r="F643" s="32" t="s">
        <v>2260</v>
      </c>
      <c r="G643" s="18" t="s">
        <v>2307</v>
      </c>
      <c r="H643" s="18">
        <v>74122000</v>
      </c>
      <c r="I643" s="17">
        <v>0.18</v>
      </c>
      <c r="J643" s="18" t="s">
        <v>2654</v>
      </c>
    </row>
    <row r="644" spans="1:10" ht="13" x14ac:dyDescent="0.3">
      <c r="A644" s="34" t="s">
        <v>789</v>
      </c>
      <c r="B644" s="32" t="s">
        <v>2261</v>
      </c>
      <c r="C644" s="13">
        <v>50</v>
      </c>
      <c r="D644" s="18">
        <v>4</v>
      </c>
      <c r="E644" s="15">
        <v>1106</v>
      </c>
      <c r="F644" s="32" t="s">
        <v>2261</v>
      </c>
      <c r="G644" s="18" t="s">
        <v>2307</v>
      </c>
      <c r="H644" s="18">
        <v>74122000</v>
      </c>
      <c r="I644" s="17">
        <v>0.18</v>
      </c>
      <c r="J644" s="18" t="s">
        <v>2654</v>
      </c>
    </row>
    <row r="645" spans="1:10" ht="13" x14ac:dyDescent="0.3">
      <c r="A645" s="34" t="s">
        <v>790</v>
      </c>
      <c r="B645" s="32" t="s">
        <v>2262</v>
      </c>
      <c r="C645" s="13">
        <v>63</v>
      </c>
      <c r="D645" s="18">
        <v>4</v>
      </c>
      <c r="E645" s="15">
        <v>1743</v>
      </c>
      <c r="F645" s="32" t="s">
        <v>2262</v>
      </c>
      <c r="G645" s="18" t="s">
        <v>2307</v>
      </c>
      <c r="H645" s="18">
        <v>74122000</v>
      </c>
      <c r="I645" s="17">
        <v>0.18</v>
      </c>
      <c r="J645" s="18" t="s">
        <v>2654</v>
      </c>
    </row>
    <row r="646" spans="1:10" ht="13" x14ac:dyDescent="0.3">
      <c r="A646" s="34" t="s">
        <v>791</v>
      </c>
      <c r="B646" s="32" t="s">
        <v>2263</v>
      </c>
      <c r="C646" s="13">
        <v>75</v>
      </c>
      <c r="D646" s="18">
        <v>4</v>
      </c>
      <c r="E646" s="15">
        <v>2448</v>
      </c>
      <c r="F646" s="32" t="s">
        <v>2263</v>
      </c>
      <c r="G646" s="18" t="s">
        <v>2307</v>
      </c>
      <c r="H646" s="18">
        <v>74122000</v>
      </c>
      <c r="I646" s="17">
        <v>0.18</v>
      </c>
      <c r="J646" s="18" t="s">
        <v>2654</v>
      </c>
    </row>
    <row r="647" spans="1:10" ht="13" x14ac:dyDescent="0.3">
      <c r="A647" s="34" t="s">
        <v>792</v>
      </c>
      <c r="B647" s="32" t="s">
        <v>2264</v>
      </c>
      <c r="C647" s="13">
        <v>90</v>
      </c>
      <c r="D647" s="18">
        <v>4</v>
      </c>
      <c r="E647" s="15">
        <v>3562</v>
      </c>
      <c r="F647" s="32" t="s">
        <v>2264</v>
      </c>
      <c r="G647" s="18" t="s">
        <v>2307</v>
      </c>
      <c r="H647" s="18">
        <v>74122000</v>
      </c>
      <c r="I647" s="17">
        <v>0.18</v>
      </c>
      <c r="J647" s="18" t="s">
        <v>2654</v>
      </c>
    </row>
    <row r="648" spans="1:10" ht="13" x14ac:dyDescent="0.3">
      <c r="A648" s="34" t="s">
        <v>793</v>
      </c>
      <c r="B648" s="32" t="s">
        <v>2265</v>
      </c>
      <c r="C648" s="13">
        <v>110</v>
      </c>
      <c r="D648" s="18">
        <v>4</v>
      </c>
      <c r="E648" s="15">
        <v>5205</v>
      </c>
      <c r="F648" s="32" t="s">
        <v>2265</v>
      </c>
      <c r="G648" s="18" t="s">
        <v>2307</v>
      </c>
      <c r="H648" s="18">
        <v>74122000</v>
      </c>
      <c r="I648" s="17">
        <v>0.18</v>
      </c>
      <c r="J648" s="18" t="s">
        <v>2654</v>
      </c>
    </row>
    <row r="649" spans="1:10" ht="13" x14ac:dyDescent="0.3">
      <c r="A649" s="34" t="s">
        <v>794</v>
      </c>
      <c r="B649" s="23" t="s">
        <v>2266</v>
      </c>
      <c r="C649" s="13">
        <v>125</v>
      </c>
      <c r="D649" s="18">
        <v>4</v>
      </c>
      <c r="E649" s="15">
        <v>6753</v>
      </c>
      <c r="F649" s="23" t="s">
        <v>2266</v>
      </c>
      <c r="G649" s="18" t="s">
        <v>2307</v>
      </c>
      <c r="H649" s="18">
        <v>74122000</v>
      </c>
      <c r="I649" s="17">
        <v>0.18</v>
      </c>
      <c r="J649" s="18" t="s">
        <v>2654</v>
      </c>
    </row>
    <row r="650" spans="1:10" ht="13" x14ac:dyDescent="0.3">
      <c r="A650" s="34" t="s">
        <v>795</v>
      </c>
      <c r="B650" s="23" t="s">
        <v>2267</v>
      </c>
      <c r="C650" s="13">
        <v>160</v>
      </c>
      <c r="D650" s="18">
        <v>4</v>
      </c>
      <c r="E650" s="15">
        <v>10889</v>
      </c>
      <c r="F650" s="23" t="s">
        <v>2267</v>
      </c>
      <c r="G650" s="18" t="s">
        <v>2307</v>
      </c>
      <c r="H650" s="18">
        <v>74122000</v>
      </c>
      <c r="I650" s="17">
        <v>0.18</v>
      </c>
      <c r="J650" s="18" t="s">
        <v>2654</v>
      </c>
    </row>
    <row r="651" spans="1:10" ht="13" x14ac:dyDescent="0.3">
      <c r="A651" s="34" t="s">
        <v>796</v>
      </c>
      <c r="B651" s="23" t="s">
        <v>2308</v>
      </c>
      <c r="C651" s="13">
        <v>200</v>
      </c>
      <c r="D651" s="18">
        <v>4</v>
      </c>
      <c r="E651" s="15">
        <v>17219</v>
      </c>
      <c r="F651" s="23" t="s">
        <v>2308</v>
      </c>
      <c r="G651" s="18" t="s">
        <v>2307</v>
      </c>
      <c r="H651" s="18">
        <v>74122000</v>
      </c>
      <c r="I651" s="17">
        <v>0.18</v>
      </c>
      <c r="J651" s="18" t="s">
        <v>2654</v>
      </c>
    </row>
    <row r="652" spans="1:10" ht="13" x14ac:dyDescent="0.3">
      <c r="A652" s="34" t="s">
        <v>797</v>
      </c>
      <c r="B652" s="23" t="s">
        <v>1468</v>
      </c>
      <c r="C652" s="13">
        <v>25</v>
      </c>
      <c r="D652" s="18">
        <v>4</v>
      </c>
      <c r="E652" s="15">
        <v>27010</v>
      </c>
      <c r="F652" s="23" t="s">
        <v>1468</v>
      </c>
      <c r="G652" s="18" t="s">
        <v>2307</v>
      </c>
      <c r="H652" s="18">
        <v>74122000</v>
      </c>
      <c r="I652" s="17">
        <v>0.18</v>
      </c>
      <c r="J652" s="18" t="s">
        <v>2654</v>
      </c>
    </row>
    <row r="653" spans="1:10" ht="13" x14ac:dyDescent="0.3">
      <c r="A653" s="34" t="s">
        <v>798</v>
      </c>
      <c r="B653" s="23" t="s">
        <v>2268</v>
      </c>
      <c r="C653" s="13">
        <v>20</v>
      </c>
      <c r="D653" s="18">
        <v>4</v>
      </c>
      <c r="E653" s="15">
        <v>211</v>
      </c>
      <c r="F653" s="23" t="s">
        <v>2268</v>
      </c>
      <c r="G653" s="18" t="s">
        <v>2309</v>
      </c>
      <c r="H653" s="18">
        <v>74122000</v>
      </c>
      <c r="I653" s="17">
        <v>0.18</v>
      </c>
      <c r="J653" s="18" t="s">
        <v>2654</v>
      </c>
    </row>
    <row r="654" spans="1:10" ht="13" x14ac:dyDescent="0.3">
      <c r="A654" s="34" t="s">
        <v>799</v>
      </c>
      <c r="B654" s="23" t="s">
        <v>2269</v>
      </c>
      <c r="C654" s="13">
        <v>25</v>
      </c>
      <c r="D654" s="18">
        <v>4</v>
      </c>
      <c r="E654" s="15">
        <v>339</v>
      </c>
      <c r="F654" s="23" t="s">
        <v>2269</v>
      </c>
      <c r="G654" s="18" t="s">
        <v>2309</v>
      </c>
      <c r="H654" s="18">
        <v>74122000</v>
      </c>
      <c r="I654" s="17">
        <v>0.18</v>
      </c>
      <c r="J654" s="18" t="s">
        <v>2654</v>
      </c>
    </row>
    <row r="655" spans="1:10" ht="13" x14ac:dyDescent="0.3">
      <c r="A655" s="34" t="s">
        <v>800</v>
      </c>
      <c r="B655" s="23" t="s">
        <v>2270</v>
      </c>
      <c r="C655" s="13">
        <v>32</v>
      </c>
      <c r="D655" s="18">
        <v>4</v>
      </c>
      <c r="E655" s="15">
        <v>537</v>
      </c>
      <c r="F655" s="23" t="s">
        <v>2270</v>
      </c>
      <c r="G655" s="18" t="s">
        <v>2309</v>
      </c>
      <c r="H655" s="18">
        <v>74122000</v>
      </c>
      <c r="I655" s="17">
        <v>0.18</v>
      </c>
      <c r="J655" s="18" t="s">
        <v>2654</v>
      </c>
    </row>
    <row r="656" spans="1:10" ht="13" x14ac:dyDescent="0.3">
      <c r="A656" s="34" t="s">
        <v>801</v>
      </c>
      <c r="B656" s="23" t="s">
        <v>2271</v>
      </c>
      <c r="C656" s="13">
        <v>40</v>
      </c>
      <c r="D656" s="18">
        <v>4</v>
      </c>
      <c r="E656" s="15">
        <v>799</v>
      </c>
      <c r="F656" s="23" t="s">
        <v>2271</v>
      </c>
      <c r="G656" s="18" t="s">
        <v>2309</v>
      </c>
      <c r="H656" s="18">
        <v>74122000</v>
      </c>
      <c r="I656" s="17">
        <v>0.18</v>
      </c>
      <c r="J656" s="18" t="s">
        <v>2654</v>
      </c>
    </row>
    <row r="657" spans="1:10" ht="13" x14ac:dyDescent="0.3">
      <c r="A657" s="34" t="s">
        <v>802</v>
      </c>
      <c r="B657" s="23" t="s">
        <v>2272</v>
      </c>
      <c r="C657" s="13">
        <v>50</v>
      </c>
      <c r="D657" s="18">
        <v>4</v>
      </c>
      <c r="E657" s="15">
        <v>1226</v>
      </c>
      <c r="F657" s="23" t="s">
        <v>2272</v>
      </c>
      <c r="G657" s="18" t="s">
        <v>2309</v>
      </c>
      <c r="H657" s="18">
        <v>74122000</v>
      </c>
      <c r="I657" s="17">
        <v>0.18</v>
      </c>
      <c r="J657" s="18" t="s">
        <v>2654</v>
      </c>
    </row>
    <row r="658" spans="1:10" ht="13" x14ac:dyDescent="0.3">
      <c r="A658" s="34" t="s">
        <v>803</v>
      </c>
      <c r="B658" s="23" t="s">
        <v>2273</v>
      </c>
      <c r="C658" s="13">
        <v>63</v>
      </c>
      <c r="D658" s="18">
        <v>4</v>
      </c>
      <c r="E658" s="15">
        <v>1928</v>
      </c>
      <c r="F658" s="23" t="s">
        <v>2273</v>
      </c>
      <c r="G658" s="18" t="s">
        <v>2309</v>
      </c>
      <c r="H658" s="18">
        <v>74122000</v>
      </c>
      <c r="I658" s="17">
        <v>0.18</v>
      </c>
      <c r="J658" s="18" t="s">
        <v>2654</v>
      </c>
    </row>
    <row r="659" spans="1:10" ht="13" x14ac:dyDescent="0.3">
      <c r="A659" s="34" t="s">
        <v>804</v>
      </c>
      <c r="B659" s="23" t="s">
        <v>2274</v>
      </c>
      <c r="C659" s="13">
        <v>75</v>
      </c>
      <c r="D659" s="18">
        <v>4</v>
      </c>
      <c r="E659" s="15">
        <v>2685</v>
      </c>
      <c r="F659" s="23" t="s">
        <v>2274</v>
      </c>
      <c r="G659" s="18" t="s">
        <v>2309</v>
      </c>
      <c r="H659" s="18">
        <v>74122000</v>
      </c>
      <c r="I659" s="17">
        <v>0.18</v>
      </c>
      <c r="J659" s="18" t="s">
        <v>2654</v>
      </c>
    </row>
    <row r="660" spans="1:10" ht="13" x14ac:dyDescent="0.3">
      <c r="A660" s="34" t="s">
        <v>2275</v>
      </c>
      <c r="B660" s="23" t="s">
        <v>2276</v>
      </c>
      <c r="C660" s="13">
        <v>20</v>
      </c>
      <c r="D660" s="18">
        <v>4</v>
      </c>
      <c r="E660" s="15">
        <v>209</v>
      </c>
      <c r="F660" s="23" t="s">
        <v>2276</v>
      </c>
      <c r="G660" s="18" t="s">
        <v>2349</v>
      </c>
      <c r="H660" s="18">
        <v>74122000</v>
      </c>
      <c r="I660" s="17">
        <v>0.18</v>
      </c>
      <c r="J660" s="18" t="s">
        <v>2654</v>
      </c>
    </row>
    <row r="661" spans="1:10" ht="13" x14ac:dyDescent="0.3">
      <c r="A661" s="34" t="s">
        <v>2277</v>
      </c>
      <c r="B661" s="23" t="s">
        <v>2278</v>
      </c>
      <c r="C661" s="13">
        <v>25</v>
      </c>
      <c r="D661" s="18">
        <v>4</v>
      </c>
      <c r="E661" s="15">
        <v>336</v>
      </c>
      <c r="F661" s="23" t="s">
        <v>2278</v>
      </c>
      <c r="G661" s="18" t="s">
        <v>2349</v>
      </c>
      <c r="H661" s="18">
        <v>74122000</v>
      </c>
      <c r="I661" s="17">
        <v>0.18</v>
      </c>
      <c r="J661" s="18" t="s">
        <v>2654</v>
      </c>
    </row>
    <row r="662" spans="1:10" ht="13" x14ac:dyDescent="0.3">
      <c r="A662" s="34" t="s">
        <v>2279</v>
      </c>
      <c r="B662" s="23" t="s">
        <v>2280</v>
      </c>
      <c r="C662" s="13">
        <v>32</v>
      </c>
      <c r="D662" s="18">
        <v>4</v>
      </c>
      <c r="E662" s="15">
        <v>357</v>
      </c>
      <c r="F662" s="23" t="s">
        <v>2280</v>
      </c>
      <c r="G662" s="18" t="s">
        <v>2349</v>
      </c>
      <c r="H662" s="18">
        <v>74122000</v>
      </c>
      <c r="I662" s="17">
        <v>0.18</v>
      </c>
      <c r="J662" s="18" t="s">
        <v>2654</v>
      </c>
    </row>
    <row r="663" spans="1:10" ht="13" x14ac:dyDescent="0.3">
      <c r="A663" s="34" t="s">
        <v>2281</v>
      </c>
      <c r="B663" s="23" t="s">
        <v>2282</v>
      </c>
      <c r="C663" s="13">
        <v>40</v>
      </c>
      <c r="D663" s="18">
        <v>4</v>
      </c>
      <c r="E663" s="15">
        <v>577</v>
      </c>
      <c r="F663" s="23" t="s">
        <v>2282</v>
      </c>
      <c r="G663" s="18" t="s">
        <v>2349</v>
      </c>
      <c r="H663" s="18">
        <v>74122000</v>
      </c>
      <c r="I663" s="17">
        <v>0.18</v>
      </c>
      <c r="J663" s="18" t="s">
        <v>2654</v>
      </c>
    </row>
    <row r="664" spans="1:10" ht="13" x14ac:dyDescent="0.3">
      <c r="A664" s="34" t="s">
        <v>2283</v>
      </c>
      <c r="B664" s="23" t="s">
        <v>2284</v>
      </c>
      <c r="C664" s="13">
        <v>50</v>
      </c>
      <c r="D664" s="18">
        <v>4</v>
      </c>
      <c r="E664" s="15">
        <v>872</v>
      </c>
      <c r="F664" s="23" t="s">
        <v>2284</v>
      </c>
      <c r="G664" s="18" t="s">
        <v>2349</v>
      </c>
      <c r="H664" s="18">
        <v>74122000</v>
      </c>
      <c r="I664" s="17">
        <v>0.18</v>
      </c>
      <c r="J664" s="18" t="s">
        <v>2654</v>
      </c>
    </row>
    <row r="665" spans="1:10" ht="13" x14ac:dyDescent="0.3">
      <c r="A665" s="34" t="s">
        <v>2285</v>
      </c>
      <c r="B665" s="23" t="s">
        <v>2286</v>
      </c>
      <c r="C665" s="13">
        <v>63</v>
      </c>
      <c r="D665" s="18">
        <v>4</v>
      </c>
      <c r="E665" s="15">
        <v>1380</v>
      </c>
      <c r="F665" s="23" t="s">
        <v>2286</v>
      </c>
      <c r="G665" s="18" t="s">
        <v>2349</v>
      </c>
      <c r="H665" s="18">
        <v>74122000</v>
      </c>
      <c r="I665" s="17">
        <v>0.18</v>
      </c>
      <c r="J665" s="18" t="s">
        <v>2654</v>
      </c>
    </row>
    <row r="666" spans="1:10" ht="13" x14ac:dyDescent="0.3">
      <c r="A666" s="34" t="s">
        <v>2287</v>
      </c>
      <c r="B666" s="23" t="s">
        <v>2288</v>
      </c>
      <c r="C666" s="13">
        <v>75</v>
      </c>
      <c r="D666" s="18">
        <v>4</v>
      </c>
      <c r="E666" s="15">
        <v>2049</v>
      </c>
      <c r="F666" s="23" t="s">
        <v>2288</v>
      </c>
      <c r="G666" s="18" t="s">
        <v>2349</v>
      </c>
      <c r="H666" s="18">
        <v>74122000</v>
      </c>
      <c r="I666" s="17">
        <v>0.18</v>
      </c>
      <c r="J666" s="18" t="s">
        <v>2654</v>
      </c>
    </row>
    <row r="667" spans="1:10" ht="13" x14ac:dyDescent="0.3">
      <c r="A667" s="34" t="s">
        <v>2289</v>
      </c>
      <c r="B667" s="23" t="s">
        <v>2290</v>
      </c>
      <c r="C667" s="13">
        <v>90</v>
      </c>
      <c r="D667" s="18">
        <v>4</v>
      </c>
      <c r="E667" s="15">
        <v>3005</v>
      </c>
      <c r="F667" s="23" t="s">
        <v>2290</v>
      </c>
      <c r="G667" s="18" t="s">
        <v>2349</v>
      </c>
      <c r="H667" s="18">
        <v>74122000</v>
      </c>
      <c r="I667" s="17">
        <v>0.18</v>
      </c>
      <c r="J667" s="18" t="s">
        <v>2654</v>
      </c>
    </row>
    <row r="668" spans="1:10" ht="13" x14ac:dyDescent="0.3">
      <c r="A668" s="34" t="s">
        <v>2291</v>
      </c>
      <c r="B668" s="23" t="s">
        <v>2292</v>
      </c>
      <c r="C668" s="13">
        <v>110</v>
      </c>
      <c r="D668" s="18">
        <v>4</v>
      </c>
      <c r="E668" s="15">
        <v>4234</v>
      </c>
      <c r="F668" s="23" t="s">
        <v>2292</v>
      </c>
      <c r="G668" s="18" t="s">
        <v>2349</v>
      </c>
      <c r="H668" s="18">
        <v>74122000</v>
      </c>
      <c r="I668" s="17">
        <v>0.18</v>
      </c>
      <c r="J668" s="18" t="s">
        <v>2654</v>
      </c>
    </row>
    <row r="669" spans="1:10" ht="13" x14ac:dyDescent="0.3">
      <c r="A669" s="34" t="s">
        <v>2293</v>
      </c>
      <c r="B669" s="23" t="s">
        <v>2294</v>
      </c>
      <c r="C669" s="13">
        <v>125</v>
      </c>
      <c r="D669" s="18">
        <v>4</v>
      </c>
      <c r="E669" s="15">
        <v>5463</v>
      </c>
      <c r="F669" s="23" t="s">
        <v>2294</v>
      </c>
      <c r="G669" s="18" t="s">
        <v>2349</v>
      </c>
      <c r="H669" s="18">
        <v>74122000</v>
      </c>
      <c r="I669" s="17">
        <v>0.18</v>
      </c>
      <c r="J669" s="18" t="s">
        <v>2654</v>
      </c>
    </row>
    <row r="670" spans="1:10" ht="13" x14ac:dyDescent="0.3">
      <c r="A670" s="34" t="s">
        <v>2295</v>
      </c>
      <c r="B670" s="23" t="s">
        <v>2296</v>
      </c>
      <c r="C670" s="13">
        <v>160</v>
      </c>
      <c r="D670" s="18">
        <v>4</v>
      </c>
      <c r="E670" s="15">
        <v>8809</v>
      </c>
      <c r="F670" s="23" t="s">
        <v>2296</v>
      </c>
      <c r="G670" s="18" t="s">
        <v>2349</v>
      </c>
      <c r="H670" s="18">
        <v>74122000</v>
      </c>
      <c r="I670" s="17">
        <v>0.18</v>
      </c>
      <c r="J670" s="18" t="s">
        <v>2654</v>
      </c>
    </row>
    <row r="671" spans="1:10" ht="13" x14ac:dyDescent="0.3">
      <c r="A671" s="34" t="s">
        <v>2297</v>
      </c>
      <c r="B671" s="23" t="s">
        <v>2298</v>
      </c>
      <c r="C671" s="13">
        <v>200</v>
      </c>
      <c r="D671" s="18">
        <v>4</v>
      </c>
      <c r="E671" s="15">
        <v>13930</v>
      </c>
      <c r="F671" s="23" t="s">
        <v>2298</v>
      </c>
      <c r="G671" s="18" t="s">
        <v>2349</v>
      </c>
      <c r="H671" s="18">
        <v>74122000</v>
      </c>
      <c r="I671" s="17">
        <v>0.18</v>
      </c>
      <c r="J671" s="18" t="s">
        <v>2654</v>
      </c>
    </row>
    <row r="672" spans="1:10" ht="13" x14ac:dyDescent="0.3">
      <c r="A672" s="34" t="s">
        <v>2299</v>
      </c>
      <c r="B672" s="23" t="s">
        <v>2300</v>
      </c>
      <c r="C672" s="13">
        <v>250</v>
      </c>
      <c r="D672" s="18">
        <v>4</v>
      </c>
      <c r="E672" s="15">
        <v>21850</v>
      </c>
      <c r="F672" s="23" t="s">
        <v>2300</v>
      </c>
      <c r="G672" s="18" t="s">
        <v>2349</v>
      </c>
      <c r="H672" s="18">
        <v>74122000</v>
      </c>
      <c r="I672" s="17">
        <v>0.18</v>
      </c>
      <c r="J672" s="18" t="s">
        <v>2654</v>
      </c>
    </row>
    <row r="673" spans="1:10" ht="13" x14ac:dyDescent="0.3">
      <c r="A673" s="34" t="s">
        <v>2301</v>
      </c>
      <c r="B673" s="23" t="s">
        <v>2302</v>
      </c>
      <c r="C673" s="13">
        <v>315</v>
      </c>
      <c r="D673" s="18">
        <v>4</v>
      </c>
      <c r="E673" s="15">
        <v>34824</v>
      </c>
      <c r="F673" s="23" t="s">
        <v>2302</v>
      </c>
      <c r="G673" s="18" t="s">
        <v>2349</v>
      </c>
      <c r="H673" s="18">
        <v>74122000</v>
      </c>
      <c r="I673" s="17">
        <v>0.18</v>
      </c>
      <c r="J673" s="18" t="s">
        <v>2654</v>
      </c>
    </row>
    <row r="674" spans="1:10" ht="13" x14ac:dyDescent="0.3">
      <c r="A674" s="34" t="s">
        <v>2303</v>
      </c>
      <c r="B674" s="23" t="s">
        <v>2304</v>
      </c>
      <c r="C674" s="13">
        <v>355</v>
      </c>
      <c r="D674" s="18">
        <v>4</v>
      </c>
      <c r="E674" s="15">
        <v>43946</v>
      </c>
      <c r="F674" s="23" t="s">
        <v>2304</v>
      </c>
      <c r="G674" s="18" t="s">
        <v>2349</v>
      </c>
      <c r="H674" s="18">
        <v>74122000</v>
      </c>
      <c r="I674" s="17">
        <v>0.18</v>
      </c>
      <c r="J674" s="18" t="s">
        <v>2654</v>
      </c>
    </row>
    <row r="675" spans="1:10" ht="13" x14ac:dyDescent="0.3">
      <c r="A675" s="34" t="s">
        <v>2305</v>
      </c>
      <c r="B675" s="23" t="s">
        <v>2306</v>
      </c>
      <c r="C675" s="13">
        <v>400</v>
      </c>
      <c r="D675" s="18">
        <v>4</v>
      </c>
      <c r="E675" s="15">
        <v>55909</v>
      </c>
      <c r="F675" s="23" t="s">
        <v>2306</v>
      </c>
      <c r="G675" s="18" t="s">
        <v>2349</v>
      </c>
      <c r="H675" s="18">
        <v>74122000</v>
      </c>
      <c r="I675" s="17">
        <v>0.18</v>
      </c>
      <c r="J675" s="18" t="s">
        <v>2654</v>
      </c>
    </row>
    <row r="676" spans="1:10" ht="13" x14ac:dyDescent="0.3">
      <c r="A676" s="34" t="s">
        <v>819</v>
      </c>
      <c r="B676" s="23" t="s">
        <v>1469</v>
      </c>
      <c r="C676" s="13">
        <v>20</v>
      </c>
      <c r="D676" s="18">
        <v>50</v>
      </c>
      <c r="E676" s="15">
        <v>37</v>
      </c>
      <c r="F676" s="23" t="s">
        <v>1469</v>
      </c>
      <c r="G676" s="18" t="s">
        <v>907</v>
      </c>
      <c r="H676" s="18">
        <v>74122000</v>
      </c>
      <c r="I676" s="17">
        <v>0.18</v>
      </c>
      <c r="J676" s="18" t="s">
        <v>2655</v>
      </c>
    </row>
    <row r="677" spans="1:10" ht="13" x14ac:dyDescent="0.3">
      <c r="A677" s="34" t="s">
        <v>820</v>
      </c>
      <c r="B677" s="23" t="s">
        <v>1470</v>
      </c>
      <c r="C677" s="13">
        <v>25</v>
      </c>
      <c r="D677" s="18">
        <v>25</v>
      </c>
      <c r="E677" s="15">
        <v>48</v>
      </c>
      <c r="F677" s="23" t="s">
        <v>1470</v>
      </c>
      <c r="G677" s="18" t="s">
        <v>907</v>
      </c>
      <c r="H677" s="18">
        <v>74122000</v>
      </c>
      <c r="I677" s="17">
        <v>0.18</v>
      </c>
      <c r="J677" s="18" t="s">
        <v>2655</v>
      </c>
    </row>
    <row r="678" spans="1:10" ht="13" x14ac:dyDescent="0.3">
      <c r="A678" s="34" t="s">
        <v>821</v>
      </c>
      <c r="B678" s="23" t="s">
        <v>1471</v>
      </c>
      <c r="C678" s="13">
        <v>32</v>
      </c>
      <c r="D678" s="18">
        <v>10</v>
      </c>
      <c r="E678" s="15">
        <v>59</v>
      </c>
      <c r="F678" s="23" t="s">
        <v>1471</v>
      </c>
      <c r="G678" s="18" t="s">
        <v>907</v>
      </c>
      <c r="H678" s="18">
        <v>74122000</v>
      </c>
      <c r="I678" s="17">
        <v>0.18</v>
      </c>
      <c r="J678" s="18" t="s">
        <v>2655</v>
      </c>
    </row>
    <row r="679" spans="1:10" ht="13" x14ac:dyDescent="0.3">
      <c r="A679" s="34" t="s">
        <v>822</v>
      </c>
      <c r="B679" s="23" t="s">
        <v>1472</v>
      </c>
      <c r="C679" s="13">
        <v>40</v>
      </c>
      <c r="D679" s="18">
        <v>5</v>
      </c>
      <c r="E679" s="15">
        <v>113</v>
      </c>
      <c r="F679" s="23" t="s">
        <v>1472</v>
      </c>
      <c r="G679" s="18" t="s">
        <v>907</v>
      </c>
      <c r="H679" s="18">
        <v>74122000</v>
      </c>
      <c r="I679" s="17">
        <v>0.18</v>
      </c>
      <c r="J679" s="18" t="s">
        <v>2655</v>
      </c>
    </row>
    <row r="680" spans="1:10" ht="13" x14ac:dyDescent="0.3">
      <c r="A680" s="34" t="s">
        <v>823</v>
      </c>
      <c r="B680" s="23" t="s">
        <v>1473</v>
      </c>
      <c r="C680" s="13">
        <v>50</v>
      </c>
      <c r="D680" s="18">
        <v>4</v>
      </c>
      <c r="E680" s="15">
        <v>181</v>
      </c>
      <c r="F680" s="23" t="s">
        <v>1473</v>
      </c>
      <c r="G680" s="18" t="s">
        <v>907</v>
      </c>
      <c r="H680" s="18">
        <v>74122000</v>
      </c>
      <c r="I680" s="17">
        <v>0.18</v>
      </c>
      <c r="J680" s="18" t="s">
        <v>2655</v>
      </c>
    </row>
    <row r="681" spans="1:10" ht="13" x14ac:dyDescent="0.3">
      <c r="A681" s="34" t="s">
        <v>824</v>
      </c>
      <c r="B681" s="23" t="s">
        <v>1474</v>
      </c>
      <c r="C681" s="13">
        <v>63</v>
      </c>
      <c r="D681" s="18">
        <v>2</v>
      </c>
      <c r="E681" s="15">
        <v>389</v>
      </c>
      <c r="F681" s="23" t="s">
        <v>1474</v>
      </c>
      <c r="G681" s="18" t="s">
        <v>907</v>
      </c>
      <c r="H681" s="18">
        <v>74122000</v>
      </c>
      <c r="I681" s="17">
        <v>0.18</v>
      </c>
      <c r="J681" s="18" t="s">
        <v>2655</v>
      </c>
    </row>
    <row r="682" spans="1:10" ht="13" x14ac:dyDescent="0.3">
      <c r="A682" s="34" t="s">
        <v>825</v>
      </c>
      <c r="B682" s="23" t="s">
        <v>1475</v>
      </c>
      <c r="C682" s="13">
        <v>75</v>
      </c>
      <c r="D682" s="18">
        <v>2</v>
      </c>
      <c r="E682" s="15">
        <v>723</v>
      </c>
      <c r="F682" s="23" t="s">
        <v>1475</v>
      </c>
      <c r="G682" s="18" t="s">
        <v>907</v>
      </c>
      <c r="H682" s="18">
        <v>74122000</v>
      </c>
      <c r="I682" s="17">
        <v>0.18</v>
      </c>
      <c r="J682" s="18" t="s">
        <v>2655</v>
      </c>
    </row>
    <row r="683" spans="1:10" ht="13" x14ac:dyDescent="0.3">
      <c r="A683" s="34" t="s">
        <v>826</v>
      </c>
      <c r="B683" s="23" t="s">
        <v>1476</v>
      </c>
      <c r="C683" s="13">
        <v>90</v>
      </c>
      <c r="D683" s="18">
        <v>1</v>
      </c>
      <c r="E683" s="15">
        <v>1340</v>
      </c>
      <c r="F683" s="23" t="s">
        <v>1476</v>
      </c>
      <c r="G683" s="18" t="s">
        <v>907</v>
      </c>
      <c r="H683" s="18">
        <v>74122000</v>
      </c>
      <c r="I683" s="17">
        <v>0.18</v>
      </c>
      <c r="J683" s="18" t="s">
        <v>2655</v>
      </c>
    </row>
    <row r="684" spans="1:10" ht="13" x14ac:dyDescent="0.3">
      <c r="A684" s="34" t="s">
        <v>827</v>
      </c>
      <c r="B684" s="23" t="s">
        <v>1477</v>
      </c>
      <c r="C684" s="13">
        <v>110</v>
      </c>
      <c r="D684" s="18">
        <v>1</v>
      </c>
      <c r="E684" s="15">
        <v>2135</v>
      </c>
      <c r="F684" s="23" t="s">
        <v>1477</v>
      </c>
      <c r="G684" s="18" t="s">
        <v>907</v>
      </c>
      <c r="H684" s="18">
        <v>74122000</v>
      </c>
      <c r="I684" s="17">
        <v>0.18</v>
      </c>
      <c r="J684" s="18" t="s">
        <v>2655</v>
      </c>
    </row>
    <row r="685" spans="1:10" ht="13" x14ac:dyDescent="0.3">
      <c r="A685" s="34" t="s">
        <v>828</v>
      </c>
      <c r="B685" s="23" t="s">
        <v>1478</v>
      </c>
      <c r="C685" s="13">
        <v>125</v>
      </c>
      <c r="D685" s="18">
        <v>1</v>
      </c>
      <c r="E685" s="15">
        <v>2818</v>
      </c>
      <c r="F685" s="23" t="s">
        <v>1478</v>
      </c>
      <c r="G685" s="18" t="s">
        <v>907</v>
      </c>
      <c r="H685" s="18">
        <v>74122000</v>
      </c>
      <c r="I685" s="17">
        <v>0.18</v>
      </c>
      <c r="J685" s="18" t="s">
        <v>2655</v>
      </c>
    </row>
    <row r="686" spans="1:10" ht="13" x14ac:dyDescent="0.3">
      <c r="A686" s="34" t="s">
        <v>829</v>
      </c>
      <c r="B686" s="23" t="s">
        <v>1479</v>
      </c>
      <c r="C686" s="13">
        <v>160</v>
      </c>
      <c r="D686" s="18">
        <v>1</v>
      </c>
      <c r="E686" s="15">
        <v>3966</v>
      </c>
      <c r="F686" s="23" t="s">
        <v>1479</v>
      </c>
      <c r="G686" s="18" t="s">
        <v>907</v>
      </c>
      <c r="H686" s="18">
        <v>74122000</v>
      </c>
      <c r="I686" s="17">
        <v>0.18</v>
      </c>
      <c r="J686" s="18" t="s">
        <v>2655</v>
      </c>
    </row>
    <row r="687" spans="1:10" ht="13" x14ac:dyDescent="0.3">
      <c r="A687" s="34" t="s">
        <v>830</v>
      </c>
      <c r="B687" s="23" t="s">
        <v>1480</v>
      </c>
      <c r="C687" s="13">
        <v>200</v>
      </c>
      <c r="D687" s="18">
        <v>1</v>
      </c>
      <c r="E687" s="15">
        <v>27372</v>
      </c>
      <c r="F687" s="23" t="s">
        <v>1480</v>
      </c>
      <c r="G687" s="18" t="s">
        <v>907</v>
      </c>
      <c r="H687" s="18">
        <v>74122000</v>
      </c>
      <c r="I687" s="17">
        <v>0.18</v>
      </c>
      <c r="J687" s="18" t="s">
        <v>2655</v>
      </c>
    </row>
    <row r="688" spans="1:10" ht="13" x14ac:dyDescent="0.3">
      <c r="A688" s="34" t="s">
        <v>831</v>
      </c>
      <c r="B688" s="23" t="s">
        <v>1481</v>
      </c>
      <c r="C688" s="13">
        <v>250</v>
      </c>
      <c r="D688" s="18">
        <v>1</v>
      </c>
      <c r="E688" s="15">
        <v>71218</v>
      </c>
      <c r="F688" s="23" t="s">
        <v>1481</v>
      </c>
      <c r="G688" s="18" t="s">
        <v>907</v>
      </c>
      <c r="H688" s="18">
        <v>74122000</v>
      </c>
      <c r="I688" s="17">
        <v>0.18</v>
      </c>
      <c r="J688" s="18" t="s">
        <v>2655</v>
      </c>
    </row>
    <row r="689" spans="1:10" ht="13" x14ac:dyDescent="0.3">
      <c r="A689" s="34" t="s">
        <v>832</v>
      </c>
      <c r="B689" s="23" t="s">
        <v>1482</v>
      </c>
      <c r="C689" s="13">
        <v>315</v>
      </c>
      <c r="D689" s="18">
        <v>1</v>
      </c>
      <c r="E689" s="15">
        <v>139949</v>
      </c>
      <c r="F689" s="23" t="s">
        <v>1482</v>
      </c>
      <c r="G689" s="18" t="s">
        <v>907</v>
      </c>
      <c r="H689" s="18">
        <v>74122000</v>
      </c>
      <c r="I689" s="17">
        <v>0.18</v>
      </c>
      <c r="J689" s="18" t="s">
        <v>2655</v>
      </c>
    </row>
    <row r="690" spans="1:10" ht="13" x14ac:dyDescent="0.3">
      <c r="A690" s="34" t="s">
        <v>1483</v>
      </c>
      <c r="B690" s="23" t="s">
        <v>1484</v>
      </c>
      <c r="C690" s="13">
        <v>355</v>
      </c>
      <c r="D690" s="18">
        <v>1</v>
      </c>
      <c r="E690" s="15">
        <v>244250</v>
      </c>
      <c r="F690" s="23" t="s">
        <v>1484</v>
      </c>
      <c r="G690" s="18" t="s">
        <v>907</v>
      </c>
      <c r="H690" s="18">
        <v>74122000</v>
      </c>
      <c r="I690" s="17">
        <v>0.18</v>
      </c>
      <c r="J690" s="18" t="s">
        <v>2655</v>
      </c>
    </row>
    <row r="691" spans="1:10" ht="13" x14ac:dyDescent="0.3">
      <c r="A691" s="34" t="s">
        <v>805</v>
      </c>
      <c r="B691" s="23" t="s">
        <v>1485</v>
      </c>
      <c r="C691" s="13">
        <v>20</v>
      </c>
      <c r="D691" s="18">
        <v>40</v>
      </c>
      <c r="E691" s="15">
        <v>23</v>
      </c>
      <c r="F691" s="23" t="s">
        <v>1485</v>
      </c>
      <c r="G691" s="18" t="s">
        <v>907</v>
      </c>
      <c r="H691" s="18">
        <v>74122000</v>
      </c>
      <c r="I691" s="17">
        <v>0.18</v>
      </c>
      <c r="J691" s="18" t="s">
        <v>2655</v>
      </c>
    </row>
    <row r="692" spans="1:10" ht="13" x14ac:dyDescent="0.3">
      <c r="A692" s="34" t="s">
        <v>806</v>
      </c>
      <c r="B692" s="23" t="s">
        <v>1486</v>
      </c>
      <c r="C692" s="13">
        <v>25</v>
      </c>
      <c r="D692" s="18">
        <v>20</v>
      </c>
      <c r="E692" s="15">
        <v>38</v>
      </c>
      <c r="F692" s="23" t="s">
        <v>1486</v>
      </c>
      <c r="G692" s="18" t="s">
        <v>907</v>
      </c>
      <c r="H692" s="18">
        <v>74122000</v>
      </c>
      <c r="I692" s="17">
        <v>0.18</v>
      </c>
      <c r="J692" s="18" t="s">
        <v>2655</v>
      </c>
    </row>
    <row r="693" spans="1:10" ht="13" x14ac:dyDescent="0.3">
      <c r="A693" s="34" t="s">
        <v>807</v>
      </c>
      <c r="B693" s="23" t="s">
        <v>1487</v>
      </c>
      <c r="C693" s="13">
        <v>32</v>
      </c>
      <c r="D693" s="18">
        <v>10</v>
      </c>
      <c r="E693" s="15">
        <v>74</v>
      </c>
      <c r="F693" s="23" t="s">
        <v>1487</v>
      </c>
      <c r="G693" s="18" t="s">
        <v>907</v>
      </c>
      <c r="H693" s="18">
        <v>74122000</v>
      </c>
      <c r="I693" s="17">
        <v>0.18</v>
      </c>
      <c r="J693" s="18" t="s">
        <v>2655</v>
      </c>
    </row>
    <row r="694" spans="1:10" ht="13" x14ac:dyDescent="0.3">
      <c r="A694" s="34" t="s">
        <v>808</v>
      </c>
      <c r="B694" s="23" t="s">
        <v>1488</v>
      </c>
      <c r="C694" s="13">
        <v>40</v>
      </c>
      <c r="D694" s="18">
        <v>5</v>
      </c>
      <c r="E694" s="15">
        <v>154</v>
      </c>
      <c r="F694" s="23" t="s">
        <v>1488</v>
      </c>
      <c r="G694" s="18" t="s">
        <v>907</v>
      </c>
      <c r="H694" s="18">
        <v>74122000</v>
      </c>
      <c r="I694" s="17">
        <v>0.18</v>
      </c>
      <c r="J694" s="18" t="s">
        <v>2655</v>
      </c>
    </row>
    <row r="695" spans="1:10" ht="13" x14ac:dyDescent="0.3">
      <c r="A695" s="34" t="s">
        <v>809</v>
      </c>
      <c r="B695" s="23" t="s">
        <v>1489</v>
      </c>
      <c r="C695" s="13">
        <v>50</v>
      </c>
      <c r="D695" s="18">
        <v>4</v>
      </c>
      <c r="E695" s="15">
        <v>263</v>
      </c>
      <c r="F695" s="23" t="s">
        <v>1489</v>
      </c>
      <c r="G695" s="18" t="s">
        <v>907</v>
      </c>
      <c r="H695" s="18">
        <v>74122000</v>
      </c>
      <c r="I695" s="17">
        <v>0.18</v>
      </c>
      <c r="J695" s="18" t="s">
        <v>2655</v>
      </c>
    </row>
    <row r="696" spans="1:10" ht="13" x14ac:dyDescent="0.3">
      <c r="A696" s="34" t="s">
        <v>810</v>
      </c>
      <c r="B696" s="23" t="s">
        <v>1490</v>
      </c>
      <c r="C696" s="13">
        <v>60</v>
      </c>
      <c r="D696" s="18">
        <v>2</v>
      </c>
      <c r="E696" s="15">
        <v>586</v>
      </c>
      <c r="F696" s="23" t="s">
        <v>1490</v>
      </c>
      <c r="G696" s="18" t="s">
        <v>907</v>
      </c>
      <c r="H696" s="18">
        <v>74122000</v>
      </c>
      <c r="I696" s="17">
        <v>0.18</v>
      </c>
      <c r="J696" s="18" t="s">
        <v>2655</v>
      </c>
    </row>
    <row r="697" spans="1:10" ht="13" x14ac:dyDescent="0.3">
      <c r="A697" s="34" t="s">
        <v>811</v>
      </c>
      <c r="B697" s="23" t="s">
        <v>1491</v>
      </c>
      <c r="C697" s="13">
        <v>75</v>
      </c>
      <c r="D697" s="18">
        <v>1</v>
      </c>
      <c r="E697" s="15">
        <v>1105</v>
      </c>
      <c r="F697" s="23" t="s">
        <v>1491</v>
      </c>
      <c r="G697" s="18" t="s">
        <v>907</v>
      </c>
      <c r="H697" s="18">
        <v>74122000</v>
      </c>
      <c r="I697" s="17">
        <v>0.18</v>
      </c>
      <c r="J697" s="18" t="s">
        <v>2655</v>
      </c>
    </row>
    <row r="698" spans="1:10" ht="13" x14ac:dyDescent="0.3">
      <c r="A698" s="34" t="s">
        <v>812</v>
      </c>
      <c r="B698" s="23" t="s">
        <v>1492</v>
      </c>
      <c r="C698" s="13">
        <v>90</v>
      </c>
      <c r="D698" s="18">
        <v>1</v>
      </c>
      <c r="E698" s="15">
        <v>1581</v>
      </c>
      <c r="F698" s="23" t="s">
        <v>1492</v>
      </c>
      <c r="G698" s="18" t="s">
        <v>907</v>
      </c>
      <c r="H698" s="18">
        <v>74122000</v>
      </c>
      <c r="I698" s="17">
        <v>0.18</v>
      </c>
      <c r="J698" s="18" t="s">
        <v>2655</v>
      </c>
    </row>
    <row r="699" spans="1:10" ht="13" x14ac:dyDescent="0.3">
      <c r="A699" s="34" t="s">
        <v>813</v>
      </c>
      <c r="B699" s="23" t="s">
        <v>1493</v>
      </c>
      <c r="C699" s="13">
        <v>110</v>
      </c>
      <c r="D699" s="18">
        <v>1</v>
      </c>
      <c r="E699" s="15">
        <v>2264</v>
      </c>
      <c r="F699" s="23" t="s">
        <v>1493</v>
      </c>
      <c r="G699" s="18" t="s">
        <v>907</v>
      </c>
      <c r="H699" s="18">
        <v>74122000</v>
      </c>
      <c r="I699" s="17">
        <v>0.18</v>
      </c>
      <c r="J699" s="18" t="s">
        <v>2655</v>
      </c>
    </row>
    <row r="700" spans="1:10" ht="13" x14ac:dyDescent="0.3">
      <c r="A700" s="34" t="s">
        <v>814</v>
      </c>
      <c r="B700" s="23" t="s">
        <v>1494</v>
      </c>
      <c r="C700" s="13">
        <v>125</v>
      </c>
      <c r="D700" s="18">
        <v>1</v>
      </c>
      <c r="E700" s="104">
        <v>3496</v>
      </c>
      <c r="F700" s="23" t="s">
        <v>1494</v>
      </c>
      <c r="G700" s="18" t="s">
        <v>907</v>
      </c>
      <c r="H700" s="18">
        <v>74122000</v>
      </c>
      <c r="I700" s="17">
        <v>0.18</v>
      </c>
      <c r="J700" s="18" t="s">
        <v>2655</v>
      </c>
    </row>
    <row r="701" spans="1:10" ht="13" x14ac:dyDescent="0.3">
      <c r="A701" s="34" t="s">
        <v>815</v>
      </c>
      <c r="B701" s="23" t="s">
        <v>1495</v>
      </c>
      <c r="C701" s="13">
        <v>160</v>
      </c>
      <c r="D701" s="18">
        <v>1</v>
      </c>
      <c r="E701" s="15">
        <v>5130</v>
      </c>
      <c r="F701" s="23" t="s">
        <v>1495</v>
      </c>
      <c r="G701" s="18" t="s">
        <v>907</v>
      </c>
      <c r="H701" s="18">
        <v>74122000</v>
      </c>
      <c r="I701" s="17">
        <v>0.18</v>
      </c>
      <c r="J701" s="18" t="s">
        <v>2655</v>
      </c>
    </row>
    <row r="702" spans="1:10" ht="13" x14ac:dyDescent="0.3">
      <c r="A702" s="34" t="s">
        <v>816</v>
      </c>
      <c r="B702" s="23" t="s">
        <v>1496</v>
      </c>
      <c r="C702" s="13">
        <v>200</v>
      </c>
      <c r="D702" s="18">
        <v>1</v>
      </c>
      <c r="E702" s="15">
        <v>34128</v>
      </c>
      <c r="F702" s="23" t="s">
        <v>1496</v>
      </c>
      <c r="G702" s="18" t="s">
        <v>907</v>
      </c>
      <c r="H702" s="18">
        <v>74122000</v>
      </c>
      <c r="I702" s="17">
        <v>0.18</v>
      </c>
      <c r="J702" s="18" t="s">
        <v>2655</v>
      </c>
    </row>
    <row r="703" spans="1:10" ht="13" x14ac:dyDescent="0.3">
      <c r="A703" s="34" t="s">
        <v>817</v>
      </c>
      <c r="B703" s="23" t="s">
        <v>1497</v>
      </c>
      <c r="C703" s="13">
        <v>250</v>
      </c>
      <c r="D703" s="18">
        <v>1</v>
      </c>
      <c r="E703" s="15">
        <v>82714</v>
      </c>
      <c r="F703" s="23" t="s">
        <v>1497</v>
      </c>
      <c r="G703" s="18" t="s">
        <v>907</v>
      </c>
      <c r="H703" s="18">
        <v>74122000</v>
      </c>
      <c r="I703" s="17">
        <v>0.18</v>
      </c>
      <c r="J703" s="18" t="s">
        <v>2655</v>
      </c>
    </row>
    <row r="704" spans="1:10" ht="13" x14ac:dyDescent="0.3">
      <c r="A704" s="34" t="s">
        <v>818</v>
      </c>
      <c r="B704" s="23" t="s">
        <v>1498</v>
      </c>
      <c r="C704" s="13">
        <v>315</v>
      </c>
      <c r="D704" s="18">
        <v>1</v>
      </c>
      <c r="E704" s="15">
        <v>145644</v>
      </c>
      <c r="F704" s="23" t="s">
        <v>1498</v>
      </c>
      <c r="G704" s="18" t="s">
        <v>907</v>
      </c>
      <c r="H704" s="18">
        <v>74122000</v>
      </c>
      <c r="I704" s="17">
        <v>0.18</v>
      </c>
      <c r="J704" s="18" t="s">
        <v>2655</v>
      </c>
    </row>
    <row r="705" spans="1:10" ht="13" x14ac:dyDescent="0.3">
      <c r="A705" s="34" t="s">
        <v>1499</v>
      </c>
      <c r="B705" s="23" t="s">
        <v>1500</v>
      </c>
      <c r="C705" s="13">
        <v>355</v>
      </c>
      <c r="D705" s="18">
        <v>1</v>
      </c>
      <c r="E705" s="15">
        <v>302476</v>
      </c>
      <c r="F705" s="23" t="s">
        <v>1500</v>
      </c>
      <c r="G705" s="18" t="s">
        <v>907</v>
      </c>
      <c r="H705" s="18">
        <v>74122000</v>
      </c>
      <c r="I705" s="17">
        <v>0.18</v>
      </c>
      <c r="J705" s="18" t="s">
        <v>2655</v>
      </c>
    </row>
    <row r="706" spans="1:10" ht="13" x14ac:dyDescent="0.3">
      <c r="A706" s="34" t="s">
        <v>1501</v>
      </c>
      <c r="B706" s="23" t="s">
        <v>1502</v>
      </c>
      <c r="C706" s="13">
        <v>400</v>
      </c>
      <c r="D706" s="18">
        <v>1</v>
      </c>
      <c r="E706" s="15">
        <v>257691</v>
      </c>
      <c r="F706" s="23" t="s">
        <v>1502</v>
      </c>
      <c r="G706" s="18" t="s">
        <v>907</v>
      </c>
      <c r="H706" s="18">
        <v>74122000</v>
      </c>
      <c r="I706" s="17">
        <v>0.18</v>
      </c>
      <c r="J706" s="18" t="s">
        <v>2655</v>
      </c>
    </row>
    <row r="707" spans="1:10" ht="13" x14ac:dyDescent="0.3">
      <c r="A707" s="34" t="s">
        <v>833</v>
      </c>
      <c r="B707" s="23" t="s">
        <v>1503</v>
      </c>
      <c r="C707" s="13" t="s">
        <v>2350</v>
      </c>
      <c r="D707" s="18">
        <v>20</v>
      </c>
      <c r="E707" s="15">
        <v>269</v>
      </c>
      <c r="F707" s="23" t="s">
        <v>1503</v>
      </c>
      <c r="G707" s="18" t="s">
        <v>907</v>
      </c>
      <c r="H707" s="18">
        <v>74122000</v>
      </c>
      <c r="I707" s="17">
        <v>0.18</v>
      </c>
      <c r="J707" s="18" t="s">
        <v>2655</v>
      </c>
    </row>
    <row r="708" spans="1:10" ht="13" x14ac:dyDescent="0.3">
      <c r="A708" s="34" t="s">
        <v>834</v>
      </c>
      <c r="B708" s="23" t="s">
        <v>1504</v>
      </c>
      <c r="C708" s="13" t="s">
        <v>2351</v>
      </c>
      <c r="D708" s="18">
        <v>10</v>
      </c>
      <c r="E708" s="15">
        <v>319</v>
      </c>
      <c r="F708" s="23" t="s">
        <v>1504</v>
      </c>
      <c r="G708" s="18" t="s">
        <v>907</v>
      </c>
      <c r="H708" s="18">
        <v>74122000</v>
      </c>
      <c r="I708" s="17">
        <v>0.18</v>
      </c>
      <c r="J708" s="18" t="s">
        <v>2655</v>
      </c>
    </row>
    <row r="709" spans="1:10" ht="13" x14ac:dyDescent="0.3">
      <c r="A709" s="34" t="s">
        <v>835</v>
      </c>
      <c r="B709" s="23" t="s">
        <v>1505</v>
      </c>
      <c r="C709" s="13" t="s">
        <v>2352</v>
      </c>
      <c r="D709" s="18">
        <v>10</v>
      </c>
      <c r="E709" s="15">
        <v>275</v>
      </c>
      <c r="F709" s="23" t="s">
        <v>1505</v>
      </c>
      <c r="G709" s="18" t="s">
        <v>907</v>
      </c>
      <c r="H709" s="18">
        <v>74122000</v>
      </c>
      <c r="I709" s="17">
        <v>0.18</v>
      </c>
      <c r="J709" s="18" t="s">
        <v>2655</v>
      </c>
    </row>
    <row r="710" spans="1:10" ht="13" x14ac:dyDescent="0.3">
      <c r="A710" s="34" t="s">
        <v>837</v>
      </c>
      <c r="B710" s="23" t="s">
        <v>1506</v>
      </c>
      <c r="C710" s="13" t="s">
        <v>726</v>
      </c>
      <c r="D710" s="18">
        <v>5</v>
      </c>
      <c r="E710" s="15">
        <v>616</v>
      </c>
      <c r="F710" s="23" t="s">
        <v>1506</v>
      </c>
      <c r="G710" s="18" t="s">
        <v>907</v>
      </c>
      <c r="H710" s="18">
        <v>74122000</v>
      </c>
      <c r="I710" s="17">
        <v>0.18</v>
      </c>
      <c r="J710" s="18" t="s">
        <v>2655</v>
      </c>
    </row>
    <row r="711" spans="1:10" ht="13" x14ac:dyDescent="0.3">
      <c r="A711" s="34" t="s">
        <v>836</v>
      </c>
      <c r="B711" s="23" t="s">
        <v>1507</v>
      </c>
      <c r="C711" s="13" t="s">
        <v>725</v>
      </c>
      <c r="D711" s="18">
        <v>5</v>
      </c>
      <c r="E711" s="15">
        <v>355</v>
      </c>
      <c r="F711" s="23" t="s">
        <v>1507</v>
      </c>
      <c r="G711" s="18" t="s">
        <v>907</v>
      </c>
      <c r="H711" s="18">
        <v>74122000</v>
      </c>
      <c r="I711" s="17">
        <v>0.18</v>
      </c>
      <c r="J711" s="18" t="s">
        <v>2655</v>
      </c>
    </row>
    <row r="712" spans="1:10" ht="13" x14ac:dyDescent="0.3">
      <c r="A712" s="34" t="s">
        <v>838</v>
      </c>
      <c r="B712" s="23" t="s">
        <v>1508</v>
      </c>
      <c r="C712" s="13" t="s">
        <v>2350</v>
      </c>
      <c r="D712" s="18">
        <v>20</v>
      </c>
      <c r="E712" s="15">
        <v>346</v>
      </c>
      <c r="F712" s="23" t="s">
        <v>1508</v>
      </c>
      <c r="G712" s="18" t="s">
        <v>907</v>
      </c>
      <c r="H712" s="18">
        <v>74122000</v>
      </c>
      <c r="I712" s="17">
        <v>0.18</v>
      </c>
      <c r="J712" s="18" t="s">
        <v>2655</v>
      </c>
    </row>
    <row r="713" spans="1:10" ht="13" x14ac:dyDescent="0.3">
      <c r="A713" s="34" t="s">
        <v>839</v>
      </c>
      <c r="B713" s="23" t="s">
        <v>1509</v>
      </c>
      <c r="C713" s="13" t="s">
        <v>2351</v>
      </c>
      <c r="D713" s="18">
        <v>10</v>
      </c>
      <c r="E713" s="15">
        <v>526</v>
      </c>
      <c r="F713" s="23" t="s">
        <v>1509</v>
      </c>
      <c r="G713" s="18" t="s">
        <v>907</v>
      </c>
      <c r="H713" s="18">
        <v>74122000</v>
      </c>
      <c r="I713" s="17">
        <v>0.18</v>
      </c>
      <c r="J713" s="18" t="s">
        <v>2655</v>
      </c>
    </row>
    <row r="714" spans="1:10" ht="13" x14ac:dyDescent="0.3">
      <c r="A714" s="34" t="s">
        <v>840</v>
      </c>
      <c r="B714" s="23" t="s">
        <v>1510</v>
      </c>
      <c r="C714" s="13" t="s">
        <v>2352</v>
      </c>
      <c r="D714" s="18">
        <v>10</v>
      </c>
      <c r="E714" s="15">
        <v>353</v>
      </c>
      <c r="F714" s="23" t="s">
        <v>1510</v>
      </c>
      <c r="G714" s="18" t="s">
        <v>907</v>
      </c>
      <c r="H714" s="18">
        <v>74122000</v>
      </c>
      <c r="I714" s="17">
        <v>0.18</v>
      </c>
      <c r="J714" s="18" t="s">
        <v>2655</v>
      </c>
    </row>
    <row r="715" spans="1:10" ht="13" x14ac:dyDescent="0.3">
      <c r="A715" s="34" t="s">
        <v>842</v>
      </c>
      <c r="B715" s="23" t="s">
        <v>1511</v>
      </c>
      <c r="C715" s="13" t="s">
        <v>726</v>
      </c>
      <c r="D715" s="18">
        <v>5</v>
      </c>
      <c r="E715" s="15">
        <v>739</v>
      </c>
      <c r="F715" s="23" t="s">
        <v>1511</v>
      </c>
      <c r="G715" s="18" t="s">
        <v>907</v>
      </c>
      <c r="H715" s="18">
        <v>74122000</v>
      </c>
      <c r="I715" s="17">
        <v>0.18</v>
      </c>
      <c r="J715" s="18" t="s">
        <v>2655</v>
      </c>
    </row>
    <row r="716" spans="1:10" ht="13" x14ac:dyDescent="0.3">
      <c r="A716" s="34" t="s">
        <v>841</v>
      </c>
      <c r="B716" s="23" t="s">
        <v>1512</v>
      </c>
      <c r="C716" s="13" t="s">
        <v>725</v>
      </c>
      <c r="D716" s="18">
        <v>5</v>
      </c>
      <c r="E716" s="15">
        <v>557</v>
      </c>
      <c r="F716" s="23" t="s">
        <v>1512</v>
      </c>
      <c r="G716" s="18" t="s">
        <v>907</v>
      </c>
      <c r="H716" s="18">
        <v>74122000</v>
      </c>
      <c r="I716" s="17">
        <v>0.18</v>
      </c>
      <c r="J716" s="18" t="s">
        <v>2655</v>
      </c>
    </row>
    <row r="717" spans="1:10" ht="13" x14ac:dyDescent="0.3">
      <c r="A717" s="34" t="s">
        <v>846</v>
      </c>
      <c r="B717" s="23" t="s">
        <v>1513</v>
      </c>
      <c r="C717" s="13" t="s">
        <v>722</v>
      </c>
      <c r="D717" s="18">
        <v>10</v>
      </c>
      <c r="E717" s="15">
        <v>958</v>
      </c>
      <c r="F717" s="23" t="s">
        <v>1513</v>
      </c>
      <c r="G717" s="18" t="s">
        <v>907</v>
      </c>
      <c r="H717" s="18">
        <v>74122000</v>
      </c>
      <c r="I717" s="17">
        <v>0.18</v>
      </c>
      <c r="J717" s="18" t="s">
        <v>2655</v>
      </c>
    </row>
    <row r="718" spans="1:10" ht="13" x14ac:dyDescent="0.3">
      <c r="A718" s="34" t="s">
        <v>847</v>
      </c>
      <c r="B718" s="23" t="s">
        <v>1514</v>
      </c>
      <c r="C718" s="13" t="s">
        <v>2353</v>
      </c>
      <c r="D718" s="18">
        <v>10</v>
      </c>
      <c r="E718" s="15">
        <v>1443</v>
      </c>
      <c r="F718" s="23" t="s">
        <v>1514</v>
      </c>
      <c r="G718" s="18" t="s">
        <v>907</v>
      </c>
      <c r="H718" s="18">
        <v>74122000</v>
      </c>
      <c r="I718" s="17">
        <v>0.18</v>
      </c>
      <c r="J718" s="18" t="s">
        <v>2655</v>
      </c>
    </row>
    <row r="719" spans="1:10" ht="13" x14ac:dyDescent="0.3">
      <c r="A719" s="34" t="s">
        <v>848</v>
      </c>
      <c r="B719" s="23" t="s">
        <v>1515</v>
      </c>
      <c r="C719" s="13" t="s">
        <v>724</v>
      </c>
      <c r="D719" s="18">
        <v>10</v>
      </c>
      <c r="E719" s="15">
        <v>964</v>
      </c>
      <c r="F719" s="23" t="s">
        <v>1515</v>
      </c>
      <c r="G719" s="18" t="s">
        <v>907</v>
      </c>
      <c r="H719" s="18">
        <v>74122000</v>
      </c>
      <c r="I719" s="17">
        <v>0.18</v>
      </c>
      <c r="J719" s="18" t="s">
        <v>2655</v>
      </c>
    </row>
    <row r="720" spans="1:10" ht="13" x14ac:dyDescent="0.3">
      <c r="A720" s="34" t="s">
        <v>849</v>
      </c>
      <c r="B720" s="23" t="s">
        <v>1516</v>
      </c>
      <c r="C720" s="13" t="s">
        <v>2354</v>
      </c>
      <c r="D720" s="18">
        <v>5</v>
      </c>
      <c r="E720" s="15">
        <v>2808</v>
      </c>
      <c r="F720" s="23" t="s">
        <v>1516</v>
      </c>
      <c r="G720" s="18" t="s">
        <v>907</v>
      </c>
      <c r="H720" s="18">
        <v>74122000</v>
      </c>
      <c r="I720" s="17">
        <v>0.18</v>
      </c>
      <c r="J720" s="18" t="s">
        <v>2655</v>
      </c>
    </row>
    <row r="721" spans="1:10" ht="13" x14ac:dyDescent="0.3">
      <c r="A721" s="34" t="s">
        <v>851</v>
      </c>
      <c r="B721" s="23" t="s">
        <v>1517</v>
      </c>
      <c r="C721" s="13" t="s">
        <v>2355</v>
      </c>
      <c r="D721" s="18">
        <v>5</v>
      </c>
      <c r="E721" s="15">
        <v>1479</v>
      </c>
      <c r="F721" s="23" t="s">
        <v>1517</v>
      </c>
      <c r="G721" s="18" t="s">
        <v>907</v>
      </c>
      <c r="H721" s="18">
        <v>74122000</v>
      </c>
      <c r="I721" s="17">
        <v>0.18</v>
      </c>
      <c r="J721" s="18" t="s">
        <v>2655</v>
      </c>
    </row>
    <row r="722" spans="1:10" ht="13" x14ac:dyDescent="0.3">
      <c r="A722" s="34" t="s">
        <v>843</v>
      </c>
      <c r="B722" s="23" t="s">
        <v>1518</v>
      </c>
      <c r="C722" s="13" t="s">
        <v>721</v>
      </c>
      <c r="D722" s="18">
        <v>10</v>
      </c>
      <c r="E722" s="15">
        <v>285</v>
      </c>
      <c r="F722" s="23" t="s">
        <v>1518</v>
      </c>
      <c r="G722" s="18" t="s">
        <v>907</v>
      </c>
      <c r="H722" s="18">
        <v>74122000</v>
      </c>
      <c r="I722" s="17">
        <v>0.18</v>
      </c>
      <c r="J722" s="18" t="s">
        <v>2655</v>
      </c>
    </row>
    <row r="723" spans="1:10" ht="13" x14ac:dyDescent="0.3">
      <c r="A723" s="34" t="s">
        <v>844</v>
      </c>
      <c r="B723" s="23" t="s">
        <v>1519</v>
      </c>
      <c r="C723" s="13" t="s">
        <v>723</v>
      </c>
      <c r="D723" s="18">
        <v>10</v>
      </c>
      <c r="E723" s="15">
        <v>325</v>
      </c>
      <c r="F723" s="23" t="s">
        <v>1519</v>
      </c>
      <c r="G723" s="18" t="s">
        <v>907</v>
      </c>
      <c r="H723" s="18">
        <v>74122000</v>
      </c>
      <c r="I723" s="17">
        <v>0.18</v>
      </c>
      <c r="J723" s="18" t="s">
        <v>2655</v>
      </c>
    </row>
    <row r="724" spans="1:10" ht="13" x14ac:dyDescent="0.3">
      <c r="A724" s="34" t="s">
        <v>845</v>
      </c>
      <c r="B724" s="23" t="s">
        <v>1520</v>
      </c>
      <c r="C724" s="13" t="s">
        <v>724</v>
      </c>
      <c r="D724" s="18">
        <v>10</v>
      </c>
      <c r="E724" s="15">
        <v>296</v>
      </c>
      <c r="F724" s="23" t="s">
        <v>1520</v>
      </c>
      <c r="G724" s="18" t="s">
        <v>907</v>
      </c>
      <c r="H724" s="18">
        <v>74122000</v>
      </c>
      <c r="I724" s="17">
        <v>0.18</v>
      </c>
      <c r="J724" s="18" t="s">
        <v>2655</v>
      </c>
    </row>
    <row r="725" spans="1:10" ht="13" x14ac:dyDescent="0.3">
      <c r="A725" s="34" t="s">
        <v>852</v>
      </c>
      <c r="B725" s="23" t="s">
        <v>1521</v>
      </c>
      <c r="C725" s="13">
        <v>20</v>
      </c>
      <c r="D725" s="18">
        <v>25</v>
      </c>
      <c r="E725" s="15">
        <v>45</v>
      </c>
      <c r="F725" s="23" t="s">
        <v>1521</v>
      </c>
      <c r="G725" s="18" t="s">
        <v>907</v>
      </c>
      <c r="H725" s="18">
        <v>74122000</v>
      </c>
      <c r="I725" s="17">
        <v>0.18</v>
      </c>
      <c r="J725" s="18" t="s">
        <v>2655</v>
      </c>
    </row>
    <row r="726" spans="1:10" ht="13" x14ac:dyDescent="0.3">
      <c r="A726" s="34" t="s">
        <v>853</v>
      </c>
      <c r="B726" s="23" t="s">
        <v>1522</v>
      </c>
      <c r="C726" s="13">
        <v>25</v>
      </c>
      <c r="D726" s="18">
        <v>15</v>
      </c>
      <c r="E726" s="15">
        <v>68</v>
      </c>
      <c r="F726" s="23" t="s">
        <v>1522</v>
      </c>
      <c r="G726" s="18" t="s">
        <v>907</v>
      </c>
      <c r="H726" s="18">
        <v>74122000</v>
      </c>
      <c r="I726" s="17">
        <v>0.18</v>
      </c>
      <c r="J726" s="18" t="s">
        <v>2655</v>
      </c>
    </row>
    <row r="727" spans="1:10" ht="13" x14ac:dyDescent="0.3">
      <c r="A727" s="34" t="s">
        <v>854</v>
      </c>
      <c r="B727" s="23" t="s">
        <v>1523</v>
      </c>
      <c r="C727" s="13">
        <v>32</v>
      </c>
      <c r="D727" s="18">
        <v>10</v>
      </c>
      <c r="E727" s="104">
        <v>91</v>
      </c>
      <c r="F727" s="23" t="s">
        <v>1523</v>
      </c>
      <c r="G727" s="18" t="s">
        <v>907</v>
      </c>
      <c r="H727" s="18">
        <v>74122000</v>
      </c>
      <c r="I727" s="17">
        <v>0.18</v>
      </c>
      <c r="J727" s="18" t="s">
        <v>2655</v>
      </c>
    </row>
    <row r="728" spans="1:10" ht="13" x14ac:dyDescent="0.3">
      <c r="A728" s="34" t="s">
        <v>855</v>
      </c>
      <c r="B728" s="23" t="s">
        <v>1524</v>
      </c>
      <c r="C728" s="13">
        <v>40</v>
      </c>
      <c r="D728" s="18">
        <v>5</v>
      </c>
      <c r="E728" s="15">
        <v>202</v>
      </c>
      <c r="F728" s="23" t="s">
        <v>1524</v>
      </c>
      <c r="G728" s="18" t="s">
        <v>907</v>
      </c>
      <c r="H728" s="18">
        <v>74122000</v>
      </c>
      <c r="I728" s="17">
        <v>0.18</v>
      </c>
      <c r="J728" s="18" t="s">
        <v>2655</v>
      </c>
    </row>
    <row r="729" spans="1:10" ht="13" x14ac:dyDescent="0.3">
      <c r="A729" s="34" t="s">
        <v>856</v>
      </c>
      <c r="B729" s="23" t="s">
        <v>1879</v>
      </c>
      <c r="C729" s="13">
        <v>50</v>
      </c>
      <c r="D729" s="18">
        <v>2</v>
      </c>
      <c r="E729" s="15">
        <v>406</v>
      </c>
      <c r="F729" s="23" t="s">
        <v>1879</v>
      </c>
      <c r="G729" s="18" t="s">
        <v>907</v>
      </c>
      <c r="H729" s="18">
        <v>74122000</v>
      </c>
      <c r="I729" s="17">
        <v>0.18</v>
      </c>
      <c r="J729" s="18" t="s">
        <v>2655</v>
      </c>
    </row>
    <row r="730" spans="1:10" ht="13" x14ac:dyDescent="0.3">
      <c r="A730" s="34" t="s">
        <v>857</v>
      </c>
      <c r="B730" s="23" t="s">
        <v>1525</v>
      </c>
      <c r="C730" s="13">
        <v>63</v>
      </c>
      <c r="D730" s="18">
        <v>2</v>
      </c>
      <c r="E730" s="15">
        <v>745</v>
      </c>
      <c r="F730" s="23" t="s">
        <v>1525</v>
      </c>
      <c r="G730" s="18" t="s">
        <v>907</v>
      </c>
      <c r="H730" s="18">
        <v>74122000</v>
      </c>
      <c r="I730" s="17">
        <v>0.18</v>
      </c>
      <c r="J730" s="18" t="s">
        <v>2655</v>
      </c>
    </row>
    <row r="731" spans="1:10" ht="13" x14ac:dyDescent="0.3">
      <c r="A731" s="34" t="s">
        <v>858</v>
      </c>
      <c r="B731" s="23" t="s">
        <v>1526</v>
      </c>
      <c r="C731" s="13">
        <v>75</v>
      </c>
      <c r="D731" s="18">
        <v>2</v>
      </c>
      <c r="E731" s="15">
        <v>1369</v>
      </c>
      <c r="F731" s="23" t="s">
        <v>1526</v>
      </c>
      <c r="G731" s="18" t="s">
        <v>907</v>
      </c>
      <c r="H731" s="18">
        <v>74122000</v>
      </c>
      <c r="I731" s="17">
        <v>0.18</v>
      </c>
      <c r="J731" s="18" t="s">
        <v>2655</v>
      </c>
    </row>
    <row r="732" spans="1:10" ht="13" x14ac:dyDescent="0.3">
      <c r="A732" s="34" t="s">
        <v>859</v>
      </c>
      <c r="B732" s="23" t="s">
        <v>1527</v>
      </c>
      <c r="C732" s="13">
        <v>90</v>
      </c>
      <c r="D732" s="18">
        <v>1</v>
      </c>
      <c r="E732" s="15">
        <v>1841</v>
      </c>
      <c r="F732" s="23" t="s">
        <v>1527</v>
      </c>
      <c r="G732" s="18" t="s">
        <v>907</v>
      </c>
      <c r="H732" s="18">
        <v>74122000</v>
      </c>
      <c r="I732" s="17">
        <v>0.18</v>
      </c>
      <c r="J732" s="18" t="s">
        <v>2655</v>
      </c>
    </row>
    <row r="733" spans="1:10" ht="13" x14ac:dyDescent="0.3">
      <c r="A733" s="34" t="s">
        <v>860</v>
      </c>
      <c r="B733" s="23" t="s">
        <v>1528</v>
      </c>
      <c r="C733" s="13">
        <v>110</v>
      </c>
      <c r="D733" s="18">
        <v>1</v>
      </c>
      <c r="E733" s="15">
        <v>3010</v>
      </c>
      <c r="F733" s="23" t="s">
        <v>1528</v>
      </c>
      <c r="G733" s="18" t="s">
        <v>907</v>
      </c>
      <c r="H733" s="18">
        <v>74122000</v>
      </c>
      <c r="I733" s="17">
        <v>0.18</v>
      </c>
      <c r="J733" s="18" t="s">
        <v>2655</v>
      </c>
    </row>
    <row r="734" spans="1:10" ht="13" x14ac:dyDescent="0.3">
      <c r="A734" s="34" t="s">
        <v>861</v>
      </c>
      <c r="B734" s="23" t="s">
        <v>1529</v>
      </c>
      <c r="C734" s="13">
        <v>125</v>
      </c>
      <c r="D734" s="18">
        <v>1</v>
      </c>
      <c r="E734" s="15">
        <v>4093</v>
      </c>
      <c r="F734" s="23" t="s">
        <v>1529</v>
      </c>
      <c r="G734" s="18" t="s">
        <v>907</v>
      </c>
      <c r="H734" s="18">
        <v>74122000</v>
      </c>
      <c r="I734" s="17">
        <v>0.18</v>
      </c>
      <c r="J734" s="18" t="s">
        <v>2655</v>
      </c>
    </row>
    <row r="735" spans="1:10" ht="13" x14ac:dyDescent="0.3">
      <c r="A735" s="34" t="s">
        <v>862</v>
      </c>
      <c r="B735" s="23" t="s">
        <v>1530</v>
      </c>
      <c r="C735" s="13">
        <v>160</v>
      </c>
      <c r="D735" s="18">
        <v>1</v>
      </c>
      <c r="E735" s="15">
        <v>6620</v>
      </c>
      <c r="F735" s="23" t="s">
        <v>1530</v>
      </c>
      <c r="G735" s="18" t="s">
        <v>907</v>
      </c>
      <c r="H735" s="18">
        <v>74122000</v>
      </c>
      <c r="I735" s="17">
        <v>0.18</v>
      </c>
      <c r="J735" s="18" t="s">
        <v>2655</v>
      </c>
    </row>
    <row r="736" spans="1:10" ht="13" x14ac:dyDescent="0.3">
      <c r="A736" s="34" t="s">
        <v>863</v>
      </c>
      <c r="B736" s="23" t="s">
        <v>1531</v>
      </c>
      <c r="C736" s="13">
        <v>200</v>
      </c>
      <c r="D736" s="18">
        <v>1</v>
      </c>
      <c r="E736" s="15">
        <v>44932</v>
      </c>
      <c r="F736" s="23" t="s">
        <v>1531</v>
      </c>
      <c r="G736" s="18" t="s">
        <v>907</v>
      </c>
      <c r="H736" s="18">
        <v>74122000</v>
      </c>
      <c r="I736" s="17">
        <v>0.18</v>
      </c>
      <c r="J736" s="18" t="s">
        <v>2655</v>
      </c>
    </row>
    <row r="737" spans="1:10" ht="13" x14ac:dyDescent="0.3">
      <c r="A737" s="34" t="s">
        <v>864</v>
      </c>
      <c r="B737" s="23" t="s">
        <v>1532</v>
      </c>
      <c r="C737" s="13">
        <v>250</v>
      </c>
      <c r="D737" s="18">
        <v>1</v>
      </c>
      <c r="E737" s="15">
        <v>102467</v>
      </c>
      <c r="F737" s="23" t="s">
        <v>1532</v>
      </c>
      <c r="G737" s="18" t="s">
        <v>907</v>
      </c>
      <c r="H737" s="18">
        <v>74122000</v>
      </c>
      <c r="I737" s="17">
        <v>0.18</v>
      </c>
      <c r="J737" s="18" t="s">
        <v>2655</v>
      </c>
    </row>
    <row r="738" spans="1:10" ht="13" x14ac:dyDescent="0.3">
      <c r="A738" s="34" t="s">
        <v>865</v>
      </c>
      <c r="B738" s="23" t="s">
        <v>1533</v>
      </c>
      <c r="C738" s="13">
        <v>315</v>
      </c>
      <c r="D738" s="18">
        <v>1</v>
      </c>
      <c r="E738" s="15">
        <v>333143</v>
      </c>
      <c r="F738" s="23" t="s">
        <v>1533</v>
      </c>
      <c r="G738" s="18" t="s">
        <v>907</v>
      </c>
      <c r="H738" s="18">
        <v>74122000</v>
      </c>
      <c r="I738" s="17">
        <v>0.18</v>
      </c>
      <c r="J738" s="18" t="s">
        <v>2655</v>
      </c>
    </row>
    <row r="739" spans="1:10" ht="13" x14ac:dyDescent="0.3">
      <c r="A739" s="34" t="s">
        <v>866</v>
      </c>
      <c r="B739" s="23" t="s">
        <v>1534</v>
      </c>
      <c r="C739" s="13">
        <v>355</v>
      </c>
      <c r="D739" s="18">
        <v>1</v>
      </c>
      <c r="E739" s="15">
        <v>281484</v>
      </c>
      <c r="F739" s="23" t="s">
        <v>1534</v>
      </c>
      <c r="G739" s="18" t="s">
        <v>907</v>
      </c>
      <c r="H739" s="18">
        <v>74122000</v>
      </c>
      <c r="I739" s="17">
        <v>0.18</v>
      </c>
      <c r="J739" s="18" t="s">
        <v>2655</v>
      </c>
    </row>
    <row r="740" spans="1:10" ht="13" x14ac:dyDescent="0.3">
      <c r="A740" s="34" t="s">
        <v>867</v>
      </c>
      <c r="B740" s="23" t="s">
        <v>1535</v>
      </c>
      <c r="C740" s="13">
        <v>400</v>
      </c>
      <c r="D740" s="18">
        <v>1</v>
      </c>
      <c r="E740" s="15">
        <v>290871</v>
      </c>
      <c r="F740" s="23" t="s">
        <v>1535</v>
      </c>
      <c r="G740" s="18" t="s">
        <v>907</v>
      </c>
      <c r="H740" s="18">
        <v>74122000</v>
      </c>
      <c r="I740" s="17">
        <v>0.18</v>
      </c>
      <c r="J740" s="18" t="s">
        <v>2655</v>
      </c>
    </row>
    <row r="741" spans="1:10" ht="13" x14ac:dyDescent="0.3">
      <c r="A741" s="34" t="s">
        <v>868</v>
      </c>
      <c r="B741" s="23" t="s">
        <v>1536</v>
      </c>
      <c r="C741" s="13" t="s">
        <v>767</v>
      </c>
      <c r="D741" s="18">
        <v>20</v>
      </c>
      <c r="E741" s="15">
        <v>59</v>
      </c>
      <c r="F741" s="23" t="s">
        <v>1536</v>
      </c>
      <c r="G741" s="18" t="s">
        <v>907</v>
      </c>
      <c r="H741" s="18">
        <v>74122000</v>
      </c>
      <c r="I741" s="17">
        <v>0.18</v>
      </c>
      <c r="J741" s="18" t="s">
        <v>2655</v>
      </c>
    </row>
    <row r="742" spans="1:10" ht="13" x14ac:dyDescent="0.3">
      <c r="A742" s="34" t="s">
        <v>869</v>
      </c>
      <c r="B742" s="23" t="s">
        <v>1537</v>
      </c>
      <c r="C742" s="13" t="s">
        <v>769</v>
      </c>
      <c r="D742" s="18">
        <v>20</v>
      </c>
      <c r="E742" s="15">
        <v>66</v>
      </c>
      <c r="F742" s="23" t="s">
        <v>1537</v>
      </c>
      <c r="G742" s="18" t="s">
        <v>907</v>
      </c>
      <c r="H742" s="18">
        <v>74122000</v>
      </c>
      <c r="I742" s="17">
        <v>0.18</v>
      </c>
      <c r="J742" s="18" t="s">
        <v>2655</v>
      </c>
    </row>
    <row r="743" spans="1:10" ht="13" x14ac:dyDescent="0.3">
      <c r="A743" s="34" t="s">
        <v>870</v>
      </c>
      <c r="B743" s="23" t="s">
        <v>1538</v>
      </c>
      <c r="C743" s="13" t="s">
        <v>768</v>
      </c>
      <c r="D743" s="18">
        <v>20</v>
      </c>
      <c r="E743" s="15">
        <v>65</v>
      </c>
      <c r="F743" s="23" t="s">
        <v>1538</v>
      </c>
      <c r="G743" s="18" t="s">
        <v>907</v>
      </c>
      <c r="H743" s="18">
        <v>74122000</v>
      </c>
      <c r="I743" s="17">
        <v>0.18</v>
      </c>
      <c r="J743" s="18" t="s">
        <v>2655</v>
      </c>
    </row>
    <row r="744" spans="1:10" ht="13" x14ac:dyDescent="0.3">
      <c r="A744" s="34" t="s">
        <v>871</v>
      </c>
      <c r="B744" s="23" t="s">
        <v>1539</v>
      </c>
      <c r="C744" s="13" t="s">
        <v>774</v>
      </c>
      <c r="D744" s="18">
        <v>10</v>
      </c>
      <c r="E744" s="104">
        <v>73</v>
      </c>
      <c r="F744" s="23" t="s">
        <v>1539</v>
      </c>
      <c r="G744" s="18" t="s">
        <v>907</v>
      </c>
      <c r="H744" s="18">
        <v>74122000</v>
      </c>
      <c r="I744" s="17">
        <v>0.18</v>
      </c>
      <c r="J744" s="18" t="s">
        <v>2655</v>
      </c>
    </row>
    <row r="745" spans="1:10" ht="13" x14ac:dyDescent="0.3">
      <c r="A745" s="34" t="s">
        <v>1540</v>
      </c>
      <c r="B745" s="23" t="s">
        <v>1541</v>
      </c>
      <c r="C745" s="13" t="s">
        <v>772</v>
      </c>
      <c r="D745" s="18">
        <v>10</v>
      </c>
      <c r="E745" s="15">
        <v>86</v>
      </c>
      <c r="F745" s="23" t="s">
        <v>1541</v>
      </c>
      <c r="G745" s="18" t="s">
        <v>907</v>
      </c>
      <c r="H745" s="18">
        <v>74122000</v>
      </c>
      <c r="I745" s="17">
        <v>0.18</v>
      </c>
      <c r="J745" s="18" t="s">
        <v>2655</v>
      </c>
    </row>
    <row r="746" spans="1:10" ht="13" x14ac:dyDescent="0.3">
      <c r="A746" s="34" t="s">
        <v>1542</v>
      </c>
      <c r="B746" s="23" t="s">
        <v>1543</v>
      </c>
      <c r="C746" s="13" t="s">
        <v>773</v>
      </c>
      <c r="D746" s="18">
        <v>10</v>
      </c>
      <c r="E746" s="15">
        <v>94</v>
      </c>
      <c r="F746" s="23" t="s">
        <v>1543</v>
      </c>
      <c r="G746" s="18" t="s">
        <v>907</v>
      </c>
      <c r="H746" s="18">
        <v>74122000</v>
      </c>
      <c r="I746" s="17">
        <v>0.18</v>
      </c>
      <c r="J746" s="18" t="s">
        <v>2655</v>
      </c>
    </row>
    <row r="747" spans="1:10" ht="13" x14ac:dyDescent="0.3">
      <c r="A747" s="34" t="s">
        <v>872</v>
      </c>
      <c r="B747" s="23" t="s">
        <v>1544</v>
      </c>
      <c r="C747" s="13" t="s">
        <v>2356</v>
      </c>
      <c r="D747" s="18">
        <v>5</v>
      </c>
      <c r="E747" s="15">
        <v>150</v>
      </c>
      <c r="F747" s="23" t="s">
        <v>1544</v>
      </c>
      <c r="G747" s="18" t="s">
        <v>907</v>
      </c>
      <c r="H747" s="18">
        <v>74122000</v>
      </c>
      <c r="I747" s="17">
        <v>0.18</v>
      </c>
      <c r="J747" s="18" t="s">
        <v>2655</v>
      </c>
    </row>
    <row r="748" spans="1:10" ht="13" x14ac:dyDescent="0.3">
      <c r="A748" s="34" t="s">
        <v>873</v>
      </c>
      <c r="B748" s="23" t="s">
        <v>1545</v>
      </c>
      <c r="C748" s="13" t="s">
        <v>775</v>
      </c>
      <c r="D748" s="18">
        <v>5</v>
      </c>
      <c r="E748" s="15">
        <v>140</v>
      </c>
      <c r="F748" s="23" t="s">
        <v>1545</v>
      </c>
      <c r="G748" s="18" t="s">
        <v>907</v>
      </c>
      <c r="H748" s="18">
        <v>74122000</v>
      </c>
      <c r="I748" s="17">
        <v>0.18</v>
      </c>
      <c r="J748" s="18" t="s">
        <v>2655</v>
      </c>
    </row>
    <row r="749" spans="1:10" ht="13" x14ac:dyDescent="0.3">
      <c r="A749" s="34" t="s">
        <v>874</v>
      </c>
      <c r="B749" s="23" t="s">
        <v>1546</v>
      </c>
      <c r="C749" s="13" t="s">
        <v>776</v>
      </c>
      <c r="D749" s="18">
        <v>5</v>
      </c>
      <c r="E749" s="15">
        <v>178</v>
      </c>
      <c r="F749" s="23" t="s">
        <v>1546</v>
      </c>
      <c r="G749" s="18" t="s">
        <v>907</v>
      </c>
      <c r="H749" s="18">
        <v>74122000</v>
      </c>
      <c r="I749" s="17">
        <v>0.18</v>
      </c>
      <c r="J749" s="18" t="s">
        <v>2655</v>
      </c>
    </row>
    <row r="750" spans="1:10" ht="13" x14ac:dyDescent="0.3">
      <c r="A750" s="34" t="s">
        <v>875</v>
      </c>
      <c r="B750" s="23" t="s">
        <v>1547</v>
      </c>
      <c r="C750" s="13" t="s">
        <v>876</v>
      </c>
      <c r="D750" s="18">
        <v>4</v>
      </c>
      <c r="E750" s="15">
        <v>210</v>
      </c>
      <c r="F750" s="23" t="s">
        <v>1547</v>
      </c>
      <c r="G750" s="18" t="s">
        <v>907</v>
      </c>
      <c r="H750" s="18">
        <v>74122000</v>
      </c>
      <c r="I750" s="17">
        <v>0.18</v>
      </c>
      <c r="J750" s="18" t="s">
        <v>2655</v>
      </c>
    </row>
    <row r="751" spans="1:10" ht="13" x14ac:dyDescent="0.3">
      <c r="A751" s="34" t="s">
        <v>877</v>
      </c>
      <c r="B751" s="23" t="s">
        <v>1548</v>
      </c>
      <c r="C751" s="13" t="s">
        <v>777</v>
      </c>
      <c r="D751" s="18">
        <v>4</v>
      </c>
      <c r="E751" s="15">
        <v>236</v>
      </c>
      <c r="F751" s="23" t="s">
        <v>1548</v>
      </c>
      <c r="G751" s="18" t="s">
        <v>907</v>
      </c>
      <c r="H751" s="18">
        <v>74122000</v>
      </c>
      <c r="I751" s="17">
        <v>0.18</v>
      </c>
      <c r="J751" s="18" t="s">
        <v>2655</v>
      </c>
    </row>
    <row r="752" spans="1:10" ht="13" x14ac:dyDescent="0.3">
      <c r="A752" s="34" t="s">
        <v>878</v>
      </c>
      <c r="B752" s="23" t="s">
        <v>1549</v>
      </c>
      <c r="C752" s="13" t="s">
        <v>778</v>
      </c>
      <c r="D752" s="18">
        <v>4</v>
      </c>
      <c r="E752" s="15">
        <v>269</v>
      </c>
      <c r="F752" s="23" t="s">
        <v>1549</v>
      </c>
      <c r="G752" s="18" t="s">
        <v>907</v>
      </c>
      <c r="H752" s="18">
        <v>74122000</v>
      </c>
      <c r="I752" s="17">
        <v>0.18</v>
      </c>
      <c r="J752" s="18" t="s">
        <v>2655</v>
      </c>
    </row>
    <row r="753" spans="1:10" ht="13" x14ac:dyDescent="0.3">
      <c r="A753" s="34" t="s">
        <v>879</v>
      </c>
      <c r="B753" s="23" t="s">
        <v>1550</v>
      </c>
      <c r="C753" s="13" t="s">
        <v>880</v>
      </c>
      <c r="D753" s="18">
        <v>2</v>
      </c>
      <c r="E753" s="15">
        <v>461</v>
      </c>
      <c r="F753" s="23" t="s">
        <v>1550</v>
      </c>
      <c r="G753" s="18" t="s">
        <v>907</v>
      </c>
      <c r="H753" s="18">
        <v>74122000</v>
      </c>
      <c r="I753" s="17">
        <v>0.18</v>
      </c>
      <c r="J753" s="18" t="s">
        <v>2655</v>
      </c>
    </row>
    <row r="754" spans="1:10" ht="13" x14ac:dyDescent="0.3">
      <c r="A754" s="34" t="s">
        <v>881</v>
      </c>
      <c r="B754" s="23" t="s">
        <v>1551</v>
      </c>
      <c r="C754" s="13" t="s">
        <v>882</v>
      </c>
      <c r="D754" s="18">
        <v>2</v>
      </c>
      <c r="E754" s="15">
        <v>503</v>
      </c>
      <c r="F754" s="23" t="s">
        <v>1551</v>
      </c>
      <c r="G754" s="18" t="s">
        <v>907</v>
      </c>
      <c r="H754" s="18">
        <v>74122000</v>
      </c>
      <c r="I754" s="17">
        <v>0.18</v>
      </c>
      <c r="J754" s="18" t="s">
        <v>2655</v>
      </c>
    </row>
    <row r="755" spans="1:10" ht="13" x14ac:dyDescent="0.3">
      <c r="A755" s="34" t="s">
        <v>883</v>
      </c>
      <c r="B755" s="23" t="s">
        <v>1552</v>
      </c>
      <c r="C755" s="13" t="s">
        <v>779</v>
      </c>
      <c r="D755" s="18">
        <v>2</v>
      </c>
      <c r="E755" s="15">
        <v>455</v>
      </c>
      <c r="F755" s="23" t="s">
        <v>1552</v>
      </c>
      <c r="G755" s="18" t="s">
        <v>907</v>
      </c>
      <c r="H755" s="18">
        <v>74122000</v>
      </c>
      <c r="I755" s="17">
        <v>0.18</v>
      </c>
      <c r="J755" s="18" t="s">
        <v>2655</v>
      </c>
    </row>
    <row r="756" spans="1:10" ht="13" x14ac:dyDescent="0.3">
      <c r="A756" s="34" t="s">
        <v>884</v>
      </c>
      <c r="B756" s="23" t="s">
        <v>1553</v>
      </c>
      <c r="C756" s="13" t="s">
        <v>780</v>
      </c>
      <c r="D756" s="18">
        <v>2</v>
      </c>
      <c r="E756" s="15">
        <v>587</v>
      </c>
      <c r="F756" s="23" t="s">
        <v>1553</v>
      </c>
      <c r="G756" s="18" t="s">
        <v>907</v>
      </c>
      <c r="H756" s="18">
        <v>74122000</v>
      </c>
      <c r="I756" s="17">
        <v>0.18</v>
      </c>
      <c r="J756" s="18" t="s">
        <v>2655</v>
      </c>
    </row>
    <row r="757" spans="1:10" ht="13" x14ac:dyDescent="0.3">
      <c r="A757" s="34" t="s">
        <v>885</v>
      </c>
      <c r="B757" s="23" t="s">
        <v>1554</v>
      </c>
      <c r="C757" s="13" t="s">
        <v>886</v>
      </c>
      <c r="D757" s="18">
        <v>1</v>
      </c>
      <c r="E757" s="15">
        <v>709</v>
      </c>
      <c r="F757" s="23" t="s">
        <v>1554</v>
      </c>
      <c r="G757" s="18" t="s">
        <v>907</v>
      </c>
      <c r="H757" s="18">
        <v>74122000</v>
      </c>
      <c r="I757" s="17">
        <v>0.18</v>
      </c>
      <c r="J757" s="18" t="s">
        <v>2655</v>
      </c>
    </row>
    <row r="758" spans="1:10" ht="13" x14ac:dyDescent="0.3">
      <c r="A758" s="34" t="s">
        <v>887</v>
      </c>
      <c r="B758" s="23" t="s">
        <v>1555</v>
      </c>
      <c r="C758" s="13" t="s">
        <v>888</v>
      </c>
      <c r="D758" s="18">
        <v>1</v>
      </c>
      <c r="E758" s="15">
        <v>787</v>
      </c>
      <c r="F758" s="23" t="s">
        <v>1555</v>
      </c>
      <c r="G758" s="18" t="s">
        <v>907</v>
      </c>
      <c r="H758" s="18">
        <v>74122000</v>
      </c>
      <c r="I758" s="17">
        <v>0.18</v>
      </c>
      <c r="J758" s="18" t="s">
        <v>2655</v>
      </c>
    </row>
    <row r="759" spans="1:10" ht="13" x14ac:dyDescent="0.3">
      <c r="A759" s="34" t="s">
        <v>889</v>
      </c>
      <c r="B759" s="23" t="s">
        <v>1556</v>
      </c>
      <c r="C759" s="13" t="s">
        <v>781</v>
      </c>
      <c r="D759" s="18">
        <v>1</v>
      </c>
      <c r="E759" s="15">
        <v>1049</v>
      </c>
      <c r="F759" s="23" t="s">
        <v>1556</v>
      </c>
      <c r="G759" s="18" t="s">
        <v>907</v>
      </c>
      <c r="H759" s="18">
        <v>74122000</v>
      </c>
      <c r="I759" s="17">
        <v>0.18</v>
      </c>
      <c r="J759" s="18" t="s">
        <v>2655</v>
      </c>
    </row>
    <row r="760" spans="1:10" ht="13" x14ac:dyDescent="0.3">
      <c r="A760" s="34" t="s">
        <v>890</v>
      </c>
      <c r="B760" s="23" t="s">
        <v>1557</v>
      </c>
      <c r="C760" s="13" t="s">
        <v>891</v>
      </c>
      <c r="D760" s="18">
        <v>1</v>
      </c>
      <c r="E760" s="15">
        <v>1533</v>
      </c>
      <c r="F760" s="23" t="s">
        <v>1557</v>
      </c>
      <c r="G760" s="18" t="s">
        <v>907</v>
      </c>
      <c r="H760" s="18">
        <v>74122000</v>
      </c>
      <c r="I760" s="17">
        <v>0.18</v>
      </c>
      <c r="J760" s="18" t="s">
        <v>2655</v>
      </c>
    </row>
    <row r="761" spans="1:10" ht="13" x14ac:dyDescent="0.3">
      <c r="A761" s="34" t="s">
        <v>892</v>
      </c>
      <c r="B761" s="23" t="s">
        <v>1558</v>
      </c>
      <c r="C761" s="13" t="s">
        <v>893</v>
      </c>
      <c r="D761" s="18">
        <v>1</v>
      </c>
      <c r="E761" s="15">
        <v>2382</v>
      </c>
      <c r="F761" s="23" t="s">
        <v>1558</v>
      </c>
      <c r="G761" s="18" t="s">
        <v>907</v>
      </c>
      <c r="H761" s="18">
        <v>74122000</v>
      </c>
      <c r="I761" s="17">
        <v>0.18</v>
      </c>
      <c r="J761" s="18" t="s">
        <v>2655</v>
      </c>
    </row>
    <row r="762" spans="1:10" ht="13" x14ac:dyDescent="0.3">
      <c r="A762" s="34" t="s">
        <v>894</v>
      </c>
      <c r="B762" s="23" t="s">
        <v>1559</v>
      </c>
      <c r="C762" s="13" t="s">
        <v>895</v>
      </c>
      <c r="D762" s="18">
        <v>1</v>
      </c>
      <c r="E762" s="15">
        <v>3061</v>
      </c>
      <c r="F762" s="23" t="s">
        <v>1559</v>
      </c>
      <c r="G762" s="18" t="s">
        <v>907</v>
      </c>
      <c r="H762" s="18">
        <v>74122000</v>
      </c>
      <c r="I762" s="17">
        <v>0.18</v>
      </c>
      <c r="J762" s="18" t="s">
        <v>2655</v>
      </c>
    </row>
    <row r="763" spans="1:10" ht="13" x14ac:dyDescent="0.3">
      <c r="A763" s="34" t="s">
        <v>901</v>
      </c>
      <c r="B763" s="23" t="s">
        <v>1560</v>
      </c>
      <c r="C763" s="13" t="s">
        <v>721</v>
      </c>
      <c r="D763" s="18">
        <v>20</v>
      </c>
      <c r="E763" s="15">
        <v>274</v>
      </c>
      <c r="F763" s="23" t="s">
        <v>1560</v>
      </c>
      <c r="G763" s="18" t="s">
        <v>907</v>
      </c>
      <c r="H763" s="18">
        <v>74122000</v>
      </c>
      <c r="I763" s="17">
        <v>0.18</v>
      </c>
      <c r="J763" s="18" t="s">
        <v>2655</v>
      </c>
    </row>
    <row r="764" spans="1:10" ht="13" x14ac:dyDescent="0.3">
      <c r="A764" s="34" t="s">
        <v>902</v>
      </c>
      <c r="B764" s="23" t="s">
        <v>1561</v>
      </c>
      <c r="C764" s="13" t="s">
        <v>724</v>
      </c>
      <c r="D764" s="18">
        <v>10</v>
      </c>
      <c r="E764" s="15">
        <v>325</v>
      </c>
      <c r="F764" s="23" t="s">
        <v>1561</v>
      </c>
      <c r="G764" s="18" t="s">
        <v>907</v>
      </c>
      <c r="H764" s="18">
        <v>74122000</v>
      </c>
      <c r="I764" s="17">
        <v>0.18</v>
      </c>
      <c r="J764" s="18" t="s">
        <v>2655</v>
      </c>
    </row>
    <row r="765" spans="1:10" ht="13" x14ac:dyDescent="0.3">
      <c r="A765" s="34" t="s">
        <v>903</v>
      </c>
      <c r="B765" s="23" t="s">
        <v>1562</v>
      </c>
      <c r="C765" s="13" t="s">
        <v>723</v>
      </c>
      <c r="D765" s="18">
        <v>10</v>
      </c>
      <c r="E765" s="15">
        <v>280</v>
      </c>
      <c r="F765" s="23" t="s">
        <v>1562</v>
      </c>
      <c r="G765" s="18" t="s">
        <v>907</v>
      </c>
      <c r="H765" s="18">
        <v>74122000</v>
      </c>
      <c r="I765" s="17">
        <v>0.18</v>
      </c>
      <c r="J765" s="18" t="s">
        <v>2655</v>
      </c>
    </row>
    <row r="766" spans="1:10" ht="13" x14ac:dyDescent="0.3">
      <c r="A766" s="34" t="s">
        <v>904</v>
      </c>
      <c r="B766" s="23" t="s">
        <v>1563</v>
      </c>
      <c r="C766" s="13" t="s">
        <v>726</v>
      </c>
      <c r="D766" s="18">
        <v>5</v>
      </c>
      <c r="E766" s="104">
        <v>630</v>
      </c>
      <c r="F766" s="23" t="s">
        <v>1563</v>
      </c>
      <c r="G766" s="18" t="s">
        <v>907</v>
      </c>
      <c r="H766" s="18">
        <v>74122000</v>
      </c>
      <c r="I766" s="17">
        <v>0.18</v>
      </c>
      <c r="J766" s="18" t="s">
        <v>2655</v>
      </c>
    </row>
    <row r="767" spans="1:10" ht="13" x14ac:dyDescent="0.3">
      <c r="A767" s="34" t="s">
        <v>905</v>
      </c>
      <c r="B767" s="23" t="s">
        <v>1564</v>
      </c>
      <c r="C767" s="13" t="s">
        <v>725</v>
      </c>
      <c r="D767" s="18">
        <v>5</v>
      </c>
      <c r="E767" s="15">
        <v>353</v>
      </c>
      <c r="F767" s="23" t="s">
        <v>1564</v>
      </c>
      <c r="G767" s="18" t="s">
        <v>907</v>
      </c>
      <c r="H767" s="18">
        <v>74122000</v>
      </c>
      <c r="I767" s="17">
        <v>0.18</v>
      </c>
      <c r="J767" s="18" t="s">
        <v>2655</v>
      </c>
    </row>
    <row r="768" spans="1:10" ht="13" x14ac:dyDescent="0.3">
      <c r="A768" s="34" t="s">
        <v>896</v>
      </c>
      <c r="B768" s="23" t="s">
        <v>1565</v>
      </c>
      <c r="C768" s="13" t="s">
        <v>721</v>
      </c>
      <c r="D768" s="18">
        <v>10</v>
      </c>
      <c r="E768" s="15">
        <v>351</v>
      </c>
      <c r="F768" s="23" t="s">
        <v>1565</v>
      </c>
      <c r="G768" s="18" t="s">
        <v>907</v>
      </c>
      <c r="H768" s="18">
        <v>74122000</v>
      </c>
      <c r="I768" s="17">
        <v>0.18</v>
      </c>
      <c r="J768" s="18" t="s">
        <v>2655</v>
      </c>
    </row>
    <row r="769" spans="1:10" ht="13" x14ac:dyDescent="0.3">
      <c r="A769" s="34" t="s">
        <v>897</v>
      </c>
      <c r="B769" s="23" t="s">
        <v>1566</v>
      </c>
      <c r="C769" s="13" t="s">
        <v>724</v>
      </c>
      <c r="D769" s="18">
        <v>10</v>
      </c>
      <c r="E769" s="15">
        <v>536</v>
      </c>
      <c r="F769" s="23" t="s">
        <v>1566</v>
      </c>
      <c r="G769" s="18" t="s">
        <v>907</v>
      </c>
      <c r="H769" s="18">
        <v>74122000</v>
      </c>
      <c r="I769" s="17">
        <v>0.18</v>
      </c>
      <c r="J769" s="18" t="s">
        <v>2655</v>
      </c>
    </row>
    <row r="770" spans="1:10" ht="13" x14ac:dyDescent="0.3">
      <c r="A770" s="34" t="s">
        <v>898</v>
      </c>
      <c r="B770" s="23" t="s">
        <v>1567</v>
      </c>
      <c r="C770" s="13" t="s">
        <v>723</v>
      </c>
      <c r="D770" s="18">
        <v>10</v>
      </c>
      <c r="E770" s="15">
        <v>359</v>
      </c>
      <c r="F770" s="23" t="s">
        <v>1567</v>
      </c>
      <c r="G770" s="18" t="s">
        <v>907</v>
      </c>
      <c r="H770" s="18">
        <v>74122000</v>
      </c>
      <c r="I770" s="17">
        <v>0.18</v>
      </c>
      <c r="J770" s="18" t="s">
        <v>2655</v>
      </c>
    </row>
    <row r="771" spans="1:10" ht="13" x14ac:dyDescent="0.3">
      <c r="A771" s="34" t="s">
        <v>899</v>
      </c>
      <c r="B771" s="23" t="s">
        <v>1568</v>
      </c>
      <c r="C771" s="13" t="s">
        <v>726</v>
      </c>
      <c r="D771" s="18">
        <v>10</v>
      </c>
      <c r="E771" s="15">
        <v>743</v>
      </c>
      <c r="F771" s="23" t="s">
        <v>1568</v>
      </c>
      <c r="G771" s="18" t="s">
        <v>907</v>
      </c>
      <c r="H771" s="18">
        <v>74122000</v>
      </c>
      <c r="I771" s="17">
        <v>0.18</v>
      </c>
      <c r="J771" s="18" t="s">
        <v>2655</v>
      </c>
    </row>
    <row r="772" spans="1:10" ht="13" x14ac:dyDescent="0.3">
      <c r="A772" s="34" t="s">
        <v>900</v>
      </c>
      <c r="B772" s="23" t="s">
        <v>1569</v>
      </c>
      <c r="C772" s="13" t="s">
        <v>725</v>
      </c>
      <c r="D772" s="18">
        <v>5</v>
      </c>
      <c r="E772" s="15">
        <v>565</v>
      </c>
      <c r="F772" s="23" t="s">
        <v>1569</v>
      </c>
      <c r="G772" s="18" t="s">
        <v>907</v>
      </c>
      <c r="H772" s="18">
        <v>74122000</v>
      </c>
      <c r="I772" s="17">
        <v>0.18</v>
      </c>
      <c r="J772" s="18" t="s">
        <v>2655</v>
      </c>
    </row>
    <row r="773" spans="1:10" ht="13" x14ac:dyDescent="0.3">
      <c r="A773" s="34" t="s">
        <v>906</v>
      </c>
      <c r="B773" s="23" t="s">
        <v>1570</v>
      </c>
      <c r="C773" s="13">
        <v>20</v>
      </c>
      <c r="D773" s="18">
        <v>50</v>
      </c>
      <c r="E773" s="15">
        <v>17</v>
      </c>
      <c r="F773" s="23" t="s">
        <v>1570</v>
      </c>
      <c r="G773" s="18" t="s">
        <v>907</v>
      </c>
      <c r="H773" s="18">
        <v>74122000</v>
      </c>
      <c r="I773" s="17">
        <v>0.18</v>
      </c>
      <c r="J773" s="18" t="s">
        <v>2654</v>
      </c>
    </row>
    <row r="774" spans="1:10" ht="13" x14ac:dyDescent="0.3">
      <c r="A774" s="34" t="s">
        <v>908</v>
      </c>
      <c r="B774" s="23" t="s">
        <v>1571</v>
      </c>
      <c r="C774" s="13">
        <v>25</v>
      </c>
      <c r="D774" s="18">
        <v>40</v>
      </c>
      <c r="E774" s="15">
        <v>37</v>
      </c>
      <c r="F774" s="23" t="s">
        <v>1571</v>
      </c>
      <c r="G774" s="18" t="s">
        <v>907</v>
      </c>
      <c r="H774" s="18">
        <v>74122000</v>
      </c>
      <c r="I774" s="17">
        <v>0.18</v>
      </c>
      <c r="J774" s="18" t="s">
        <v>2655</v>
      </c>
    </row>
    <row r="775" spans="1:10" ht="13" x14ac:dyDescent="0.3">
      <c r="A775" s="34" t="s">
        <v>909</v>
      </c>
      <c r="B775" s="23" t="s">
        <v>1572</v>
      </c>
      <c r="C775" s="13">
        <v>32</v>
      </c>
      <c r="D775" s="18">
        <v>20</v>
      </c>
      <c r="E775" s="15">
        <v>59</v>
      </c>
      <c r="F775" s="23" t="s">
        <v>1572</v>
      </c>
      <c r="G775" s="18" t="s">
        <v>907</v>
      </c>
      <c r="H775" s="18">
        <v>74122000</v>
      </c>
      <c r="I775" s="17">
        <v>0.18</v>
      </c>
      <c r="J775" s="18" t="s">
        <v>2655</v>
      </c>
    </row>
    <row r="776" spans="1:10" ht="13" x14ac:dyDescent="0.3">
      <c r="A776" s="34" t="s">
        <v>910</v>
      </c>
      <c r="B776" s="23" t="s">
        <v>1573</v>
      </c>
      <c r="C776" s="13" t="s">
        <v>2372</v>
      </c>
      <c r="D776" s="18">
        <v>10</v>
      </c>
      <c r="E776" s="15">
        <v>89</v>
      </c>
      <c r="F776" s="23" t="s">
        <v>1573</v>
      </c>
      <c r="G776" s="18" t="s">
        <v>907</v>
      </c>
      <c r="H776" s="18">
        <v>74122000</v>
      </c>
      <c r="I776" s="17">
        <v>0.18</v>
      </c>
      <c r="J776" s="18" t="s">
        <v>2655</v>
      </c>
    </row>
    <row r="777" spans="1:10" ht="13" x14ac:dyDescent="0.3">
      <c r="A777" s="34" t="s">
        <v>911</v>
      </c>
      <c r="B777" s="23" t="s">
        <v>1574</v>
      </c>
      <c r="C777" s="13" t="s">
        <v>2373</v>
      </c>
      <c r="D777" s="18">
        <v>5</v>
      </c>
      <c r="E777" s="15">
        <v>187</v>
      </c>
      <c r="F777" s="23" t="s">
        <v>1574</v>
      </c>
      <c r="G777" s="18" t="s">
        <v>907</v>
      </c>
      <c r="H777" s="18">
        <v>74122000</v>
      </c>
      <c r="I777" s="17">
        <v>0.18</v>
      </c>
      <c r="J777" s="18" t="s">
        <v>2655</v>
      </c>
    </row>
    <row r="778" spans="1:10" ht="13" x14ac:dyDescent="0.3">
      <c r="A778" s="34" t="s">
        <v>912</v>
      </c>
      <c r="B778" s="23" t="s">
        <v>1575</v>
      </c>
      <c r="C778" s="13" t="s">
        <v>2374</v>
      </c>
      <c r="D778" s="18">
        <v>4</v>
      </c>
      <c r="E778" s="15">
        <v>298</v>
      </c>
      <c r="F778" s="23" t="s">
        <v>1575</v>
      </c>
      <c r="G778" s="18" t="s">
        <v>907</v>
      </c>
      <c r="H778" s="18">
        <v>74122000</v>
      </c>
      <c r="I778" s="17">
        <v>0.18</v>
      </c>
      <c r="J778" s="18" t="s">
        <v>2655</v>
      </c>
    </row>
    <row r="779" spans="1:10" ht="13" x14ac:dyDescent="0.3">
      <c r="A779" s="34" t="s">
        <v>913</v>
      </c>
      <c r="B779" s="23" t="s">
        <v>1576</v>
      </c>
      <c r="C779" s="13" t="s">
        <v>2375</v>
      </c>
      <c r="D779" s="18">
        <v>2</v>
      </c>
      <c r="E779" s="15">
        <v>599</v>
      </c>
      <c r="F779" s="23" t="s">
        <v>1576</v>
      </c>
      <c r="G779" s="18" t="s">
        <v>907</v>
      </c>
      <c r="H779" s="18">
        <v>74122000</v>
      </c>
      <c r="I779" s="17">
        <v>0.18</v>
      </c>
      <c r="J779" s="18" t="s">
        <v>2655</v>
      </c>
    </row>
    <row r="780" spans="1:10" ht="13" x14ac:dyDescent="0.3">
      <c r="A780" s="34" t="s">
        <v>914</v>
      </c>
      <c r="B780" s="23" t="s">
        <v>1577</v>
      </c>
      <c r="C780" s="13" t="s">
        <v>2376</v>
      </c>
      <c r="D780" s="18">
        <v>1</v>
      </c>
      <c r="E780" s="15">
        <v>831</v>
      </c>
      <c r="F780" s="23" t="s">
        <v>1577</v>
      </c>
      <c r="G780" s="18" t="s">
        <v>907</v>
      </c>
      <c r="H780" s="18">
        <v>74122000</v>
      </c>
      <c r="I780" s="17">
        <v>0.18</v>
      </c>
      <c r="J780" s="18" t="s">
        <v>2655</v>
      </c>
    </row>
    <row r="781" spans="1:10" ht="13" x14ac:dyDescent="0.3">
      <c r="A781" s="34" t="s">
        <v>915</v>
      </c>
      <c r="B781" s="23" t="s">
        <v>1578</v>
      </c>
      <c r="C781" s="13" t="s">
        <v>2377</v>
      </c>
      <c r="D781" s="18">
        <v>1</v>
      </c>
      <c r="E781" s="15">
        <v>1417</v>
      </c>
      <c r="F781" s="23" t="s">
        <v>1578</v>
      </c>
      <c r="G781" s="18" t="s">
        <v>907</v>
      </c>
      <c r="H781" s="18">
        <v>74122000</v>
      </c>
      <c r="I781" s="17">
        <v>0.18</v>
      </c>
      <c r="J781" s="18" t="s">
        <v>2655</v>
      </c>
    </row>
    <row r="782" spans="1:10" ht="13" x14ac:dyDescent="0.3">
      <c r="A782" s="34" t="s">
        <v>916</v>
      </c>
      <c r="B782" s="23" t="s">
        <v>1579</v>
      </c>
      <c r="C782" s="13" t="s">
        <v>2378</v>
      </c>
      <c r="D782" s="18">
        <v>1</v>
      </c>
      <c r="E782" s="15">
        <v>1436</v>
      </c>
      <c r="F782" s="23" t="s">
        <v>1579</v>
      </c>
      <c r="G782" s="18" t="s">
        <v>907</v>
      </c>
      <c r="H782" s="18">
        <v>74122000</v>
      </c>
      <c r="I782" s="17">
        <v>0.18</v>
      </c>
      <c r="J782" s="18" t="s">
        <v>2655</v>
      </c>
    </row>
    <row r="783" spans="1:10" ht="13" x14ac:dyDescent="0.3">
      <c r="A783" s="34" t="s">
        <v>917</v>
      </c>
      <c r="B783" s="23" t="s">
        <v>1580</v>
      </c>
      <c r="C783" s="13" t="s">
        <v>738</v>
      </c>
      <c r="D783" s="18">
        <v>50</v>
      </c>
      <c r="E783" s="15">
        <v>32</v>
      </c>
      <c r="F783" s="23" t="s">
        <v>1580</v>
      </c>
      <c r="G783" s="18" t="s">
        <v>907</v>
      </c>
      <c r="H783" s="18">
        <v>74122000</v>
      </c>
      <c r="I783" s="17">
        <v>0.18</v>
      </c>
      <c r="J783" s="18" t="s">
        <v>2655</v>
      </c>
    </row>
    <row r="784" spans="1:10" ht="13" x14ac:dyDescent="0.3">
      <c r="A784" s="34" t="s">
        <v>918</v>
      </c>
      <c r="B784" s="23" t="s">
        <v>1581</v>
      </c>
      <c r="C784" s="13" t="s">
        <v>739</v>
      </c>
      <c r="D784" s="18">
        <v>30</v>
      </c>
      <c r="E784" s="15">
        <v>39</v>
      </c>
      <c r="F784" s="23" t="s">
        <v>1581</v>
      </c>
      <c r="G784" s="18" t="s">
        <v>907</v>
      </c>
      <c r="H784" s="18">
        <v>74122000</v>
      </c>
      <c r="I784" s="17">
        <v>0.18</v>
      </c>
      <c r="J784" s="18" t="s">
        <v>2655</v>
      </c>
    </row>
    <row r="785" spans="1:10" ht="13" x14ac:dyDescent="0.3">
      <c r="A785" s="34" t="s">
        <v>919</v>
      </c>
      <c r="B785" s="23" t="s">
        <v>1582</v>
      </c>
      <c r="C785" s="13" t="s">
        <v>740</v>
      </c>
      <c r="D785" s="18">
        <v>30</v>
      </c>
      <c r="E785" s="15">
        <v>35</v>
      </c>
      <c r="F785" s="23" t="s">
        <v>1582</v>
      </c>
      <c r="G785" s="18" t="s">
        <v>907</v>
      </c>
      <c r="H785" s="18">
        <v>74122000</v>
      </c>
      <c r="I785" s="17">
        <v>0.18</v>
      </c>
      <c r="J785" s="18" t="s">
        <v>2655</v>
      </c>
    </row>
    <row r="786" spans="1:10" ht="13" x14ac:dyDescent="0.3">
      <c r="A786" s="34" t="s">
        <v>920</v>
      </c>
      <c r="B786" s="23" t="s">
        <v>1583</v>
      </c>
      <c r="C786" s="13" t="s">
        <v>921</v>
      </c>
      <c r="D786" s="18">
        <v>20</v>
      </c>
      <c r="E786" s="15">
        <v>84</v>
      </c>
      <c r="F786" s="23" t="s">
        <v>1583</v>
      </c>
      <c r="G786" s="18" t="s">
        <v>907</v>
      </c>
      <c r="H786" s="18">
        <v>74122000</v>
      </c>
      <c r="I786" s="17">
        <v>0.18</v>
      </c>
      <c r="J786" s="18" t="s">
        <v>2655</v>
      </c>
    </row>
    <row r="787" spans="1:10" ht="13" x14ac:dyDescent="0.3">
      <c r="A787" s="34" t="s">
        <v>922</v>
      </c>
      <c r="B787" s="23" t="s">
        <v>1584</v>
      </c>
      <c r="C787" s="13" t="s">
        <v>741</v>
      </c>
      <c r="D787" s="18">
        <v>20</v>
      </c>
      <c r="E787" s="15">
        <v>85</v>
      </c>
      <c r="F787" s="23" t="s">
        <v>1584</v>
      </c>
      <c r="G787" s="18" t="s">
        <v>907</v>
      </c>
      <c r="H787" s="18">
        <v>74122000</v>
      </c>
      <c r="I787" s="17">
        <v>0.18</v>
      </c>
      <c r="J787" s="18" t="s">
        <v>2655</v>
      </c>
    </row>
    <row r="788" spans="1:10" ht="13" x14ac:dyDescent="0.3">
      <c r="A788" s="34" t="s">
        <v>923</v>
      </c>
      <c r="B788" s="23" t="s">
        <v>1585</v>
      </c>
      <c r="C788" s="13" t="s">
        <v>105</v>
      </c>
      <c r="D788" s="18">
        <v>20</v>
      </c>
      <c r="E788" s="15">
        <v>92</v>
      </c>
      <c r="F788" s="23" t="s">
        <v>1585</v>
      </c>
      <c r="G788" s="18" t="s">
        <v>907</v>
      </c>
      <c r="H788" s="18">
        <v>74122000</v>
      </c>
      <c r="I788" s="17">
        <v>0.18</v>
      </c>
      <c r="J788" s="18" t="s">
        <v>2655</v>
      </c>
    </row>
    <row r="789" spans="1:10" ht="13" x14ac:dyDescent="0.3">
      <c r="A789" s="34" t="s">
        <v>929</v>
      </c>
      <c r="B789" s="23" t="s">
        <v>1586</v>
      </c>
      <c r="C789" s="13" t="s">
        <v>73</v>
      </c>
      <c r="D789" s="18">
        <v>10</v>
      </c>
      <c r="E789" s="15">
        <v>194</v>
      </c>
      <c r="F789" s="23" t="s">
        <v>1586</v>
      </c>
      <c r="G789" s="18" t="s">
        <v>907</v>
      </c>
      <c r="H789" s="18">
        <v>74122000</v>
      </c>
      <c r="I789" s="17">
        <v>0.18</v>
      </c>
      <c r="J789" s="18" t="s">
        <v>2655</v>
      </c>
    </row>
    <row r="790" spans="1:10" ht="13" x14ac:dyDescent="0.3">
      <c r="A790" s="34" t="s">
        <v>924</v>
      </c>
      <c r="B790" s="23" t="s">
        <v>1587</v>
      </c>
      <c r="C790" s="13" t="s">
        <v>925</v>
      </c>
      <c r="D790" s="18">
        <v>10</v>
      </c>
      <c r="E790" s="15">
        <v>112</v>
      </c>
      <c r="F790" s="23" t="s">
        <v>1587</v>
      </c>
      <c r="G790" s="18" t="s">
        <v>907</v>
      </c>
      <c r="H790" s="18">
        <v>74122000</v>
      </c>
      <c r="I790" s="17">
        <v>0.18</v>
      </c>
      <c r="J790" s="18" t="s">
        <v>2655</v>
      </c>
    </row>
    <row r="791" spans="1:10" ht="13" x14ac:dyDescent="0.3">
      <c r="A791" s="34" t="s">
        <v>928</v>
      </c>
      <c r="B791" s="23" t="s">
        <v>1588</v>
      </c>
      <c r="C791" s="13" t="s">
        <v>106</v>
      </c>
      <c r="D791" s="18">
        <v>10</v>
      </c>
      <c r="E791" s="15">
        <v>191</v>
      </c>
      <c r="F791" s="23" t="s">
        <v>1588</v>
      </c>
      <c r="G791" s="18" t="s">
        <v>907</v>
      </c>
      <c r="H791" s="18">
        <v>74122000</v>
      </c>
      <c r="I791" s="17">
        <v>0.18</v>
      </c>
      <c r="J791" s="18" t="s">
        <v>2655</v>
      </c>
    </row>
    <row r="792" spans="1:10" ht="13" x14ac:dyDescent="0.3">
      <c r="A792" s="34" t="s">
        <v>926</v>
      </c>
      <c r="B792" s="23" t="s">
        <v>1589</v>
      </c>
      <c r="C792" s="13" t="s">
        <v>927</v>
      </c>
      <c r="D792" s="18">
        <v>10</v>
      </c>
      <c r="E792" s="15">
        <v>116</v>
      </c>
      <c r="F792" s="23" t="s">
        <v>1589</v>
      </c>
      <c r="G792" s="18" t="s">
        <v>907</v>
      </c>
      <c r="H792" s="18">
        <v>74122000</v>
      </c>
      <c r="I792" s="17">
        <v>0.18</v>
      </c>
      <c r="J792" s="18" t="s">
        <v>2655</v>
      </c>
    </row>
    <row r="793" spans="1:10" ht="13" x14ac:dyDescent="0.3">
      <c r="A793" s="34" t="s">
        <v>930</v>
      </c>
      <c r="B793" s="23" t="s">
        <v>1590</v>
      </c>
      <c r="C793" s="13" t="s">
        <v>931</v>
      </c>
      <c r="D793" s="18">
        <v>5</v>
      </c>
      <c r="E793" s="15">
        <v>122</v>
      </c>
      <c r="F793" s="23" t="s">
        <v>1590</v>
      </c>
      <c r="G793" s="18" t="s">
        <v>907</v>
      </c>
      <c r="H793" s="18">
        <v>74122000</v>
      </c>
      <c r="I793" s="17">
        <v>0.18</v>
      </c>
      <c r="J793" s="18" t="s">
        <v>2655</v>
      </c>
    </row>
    <row r="794" spans="1:10" ht="13" x14ac:dyDescent="0.3">
      <c r="A794" s="34" t="s">
        <v>934</v>
      </c>
      <c r="B794" s="23" t="s">
        <v>1591</v>
      </c>
      <c r="C794" s="13" t="s">
        <v>742</v>
      </c>
      <c r="D794" s="18">
        <v>5</v>
      </c>
      <c r="E794" s="15">
        <v>229</v>
      </c>
      <c r="F794" s="23" t="s">
        <v>1591</v>
      </c>
      <c r="G794" s="18" t="s">
        <v>907</v>
      </c>
      <c r="H794" s="18">
        <v>74122000</v>
      </c>
      <c r="I794" s="17">
        <v>0.18</v>
      </c>
      <c r="J794" s="18" t="s">
        <v>2655</v>
      </c>
    </row>
    <row r="795" spans="1:10" ht="13" x14ac:dyDescent="0.3">
      <c r="A795" s="34" t="s">
        <v>932</v>
      </c>
      <c r="B795" s="23" t="s">
        <v>1592</v>
      </c>
      <c r="C795" s="13" t="s">
        <v>933</v>
      </c>
      <c r="D795" s="18">
        <v>5</v>
      </c>
      <c r="E795" s="15">
        <v>227</v>
      </c>
      <c r="F795" s="23" t="s">
        <v>1592</v>
      </c>
      <c r="G795" s="18" t="s">
        <v>907</v>
      </c>
      <c r="H795" s="18">
        <v>74122000</v>
      </c>
      <c r="I795" s="17">
        <v>0.18</v>
      </c>
      <c r="J795" s="18" t="s">
        <v>2655</v>
      </c>
    </row>
    <row r="796" spans="1:10" ht="13" x14ac:dyDescent="0.3">
      <c r="A796" s="34" t="s">
        <v>935</v>
      </c>
      <c r="B796" s="23" t="s">
        <v>1593</v>
      </c>
      <c r="C796" s="13" t="s">
        <v>743</v>
      </c>
      <c r="D796" s="18">
        <v>5</v>
      </c>
      <c r="E796" s="15">
        <v>474</v>
      </c>
      <c r="F796" s="23" t="s">
        <v>1593</v>
      </c>
      <c r="G796" s="18" t="s">
        <v>907</v>
      </c>
      <c r="H796" s="18">
        <v>74122000</v>
      </c>
      <c r="I796" s="17">
        <v>0.18</v>
      </c>
      <c r="J796" s="18" t="s">
        <v>2655</v>
      </c>
    </row>
    <row r="797" spans="1:10" ht="13" x14ac:dyDescent="0.3">
      <c r="A797" s="34" t="s">
        <v>936</v>
      </c>
      <c r="B797" s="23" t="s">
        <v>1594</v>
      </c>
      <c r="C797" s="13" t="s">
        <v>76</v>
      </c>
      <c r="D797" s="18">
        <v>4</v>
      </c>
      <c r="E797" s="15">
        <v>496</v>
      </c>
      <c r="F797" s="23" t="s">
        <v>1594</v>
      </c>
      <c r="G797" s="18" t="s">
        <v>907</v>
      </c>
      <c r="H797" s="18">
        <v>74122000</v>
      </c>
      <c r="I797" s="17">
        <v>0.18</v>
      </c>
      <c r="J797" s="18" t="s">
        <v>2655</v>
      </c>
    </row>
    <row r="798" spans="1:10" ht="13" x14ac:dyDescent="0.3">
      <c r="A798" s="34" t="s">
        <v>937</v>
      </c>
      <c r="B798" s="23" t="s">
        <v>1595</v>
      </c>
      <c r="C798" s="13" t="s">
        <v>744</v>
      </c>
      <c r="D798" s="18">
        <v>4</v>
      </c>
      <c r="E798" s="15">
        <v>512</v>
      </c>
      <c r="F798" s="23" t="s">
        <v>1595</v>
      </c>
      <c r="G798" s="18" t="s">
        <v>907</v>
      </c>
      <c r="H798" s="18">
        <v>74122000</v>
      </c>
      <c r="I798" s="17">
        <v>0.18</v>
      </c>
      <c r="J798" s="18" t="s">
        <v>2655</v>
      </c>
    </row>
    <row r="799" spans="1:10" ht="13" x14ac:dyDescent="0.3">
      <c r="A799" s="34" t="s">
        <v>938</v>
      </c>
      <c r="B799" s="23" t="s">
        <v>1596</v>
      </c>
      <c r="C799" s="13" t="s">
        <v>939</v>
      </c>
      <c r="D799" s="18">
        <v>2</v>
      </c>
      <c r="E799" s="15">
        <v>581</v>
      </c>
      <c r="F799" s="23" t="s">
        <v>1596</v>
      </c>
      <c r="G799" s="18" t="s">
        <v>907</v>
      </c>
      <c r="H799" s="18">
        <v>74122000</v>
      </c>
      <c r="I799" s="17">
        <v>0.18</v>
      </c>
      <c r="J799" s="18" t="s">
        <v>2655</v>
      </c>
    </row>
    <row r="800" spans="1:10" ht="13" x14ac:dyDescent="0.3">
      <c r="A800" s="34" t="s">
        <v>940</v>
      </c>
      <c r="B800" s="23" t="s">
        <v>1597</v>
      </c>
      <c r="C800" s="13" t="s">
        <v>941</v>
      </c>
      <c r="D800" s="18">
        <v>2</v>
      </c>
      <c r="E800" s="15">
        <v>812</v>
      </c>
      <c r="F800" s="23" t="s">
        <v>1597</v>
      </c>
      <c r="G800" s="18" t="s">
        <v>907</v>
      </c>
      <c r="H800" s="18">
        <v>74122000</v>
      </c>
      <c r="I800" s="17">
        <v>0.18</v>
      </c>
      <c r="J800" s="18" t="s">
        <v>2655</v>
      </c>
    </row>
    <row r="801" spans="1:10" ht="13" x14ac:dyDescent="0.3">
      <c r="A801" s="34" t="s">
        <v>945</v>
      </c>
      <c r="B801" s="23" t="s">
        <v>1598</v>
      </c>
      <c r="C801" s="13" t="s">
        <v>96</v>
      </c>
      <c r="D801" s="18">
        <v>1</v>
      </c>
      <c r="E801" s="15">
        <v>975</v>
      </c>
      <c r="F801" s="23" t="s">
        <v>1598</v>
      </c>
      <c r="G801" s="18" t="s">
        <v>907</v>
      </c>
      <c r="H801" s="18">
        <v>74122000</v>
      </c>
      <c r="I801" s="17">
        <v>0.18</v>
      </c>
      <c r="J801" s="18" t="s">
        <v>2655</v>
      </c>
    </row>
    <row r="802" spans="1:10" ht="13" x14ac:dyDescent="0.3">
      <c r="A802" s="34" t="s">
        <v>942</v>
      </c>
      <c r="B802" s="23" t="s">
        <v>1599</v>
      </c>
      <c r="C802" s="13" t="s">
        <v>943</v>
      </c>
      <c r="D802" s="18">
        <v>1</v>
      </c>
      <c r="E802" s="15">
        <v>843</v>
      </c>
      <c r="F802" s="23" t="s">
        <v>1599</v>
      </c>
      <c r="G802" s="18" t="s">
        <v>907</v>
      </c>
      <c r="H802" s="18">
        <v>74122000</v>
      </c>
      <c r="I802" s="17">
        <v>0.18</v>
      </c>
      <c r="J802" s="18" t="s">
        <v>2655</v>
      </c>
    </row>
    <row r="803" spans="1:10" ht="13" x14ac:dyDescent="0.3">
      <c r="A803" s="34" t="s">
        <v>944</v>
      </c>
      <c r="B803" s="23" t="s">
        <v>1600</v>
      </c>
      <c r="C803" s="13" t="s">
        <v>80</v>
      </c>
      <c r="D803" s="18">
        <v>1</v>
      </c>
      <c r="E803" s="15">
        <v>861</v>
      </c>
      <c r="F803" s="23" t="s">
        <v>1600</v>
      </c>
      <c r="G803" s="18" t="s">
        <v>907</v>
      </c>
      <c r="H803" s="18">
        <v>74122000</v>
      </c>
      <c r="I803" s="17">
        <v>0.18</v>
      </c>
      <c r="J803" s="18" t="s">
        <v>2655</v>
      </c>
    </row>
    <row r="804" spans="1:10" ht="13" x14ac:dyDescent="0.3">
      <c r="A804" s="34" t="s">
        <v>946</v>
      </c>
      <c r="B804" s="23" t="s">
        <v>1601</v>
      </c>
      <c r="C804" s="13" t="s">
        <v>84</v>
      </c>
      <c r="D804" s="18">
        <v>1</v>
      </c>
      <c r="E804" s="15">
        <v>2116</v>
      </c>
      <c r="F804" s="23" t="s">
        <v>1601</v>
      </c>
      <c r="G804" s="18" t="s">
        <v>907</v>
      </c>
      <c r="H804" s="18">
        <v>74122000</v>
      </c>
      <c r="I804" s="17">
        <v>0.18</v>
      </c>
      <c r="J804" s="18" t="s">
        <v>2655</v>
      </c>
    </row>
    <row r="805" spans="1:10" ht="13" x14ac:dyDescent="0.3">
      <c r="A805" s="34" t="s">
        <v>947</v>
      </c>
      <c r="B805" s="23" t="s">
        <v>1602</v>
      </c>
      <c r="C805" s="13" t="s">
        <v>86</v>
      </c>
      <c r="D805" s="18">
        <v>1</v>
      </c>
      <c r="E805" s="15">
        <v>1490</v>
      </c>
      <c r="F805" s="23" t="s">
        <v>1602</v>
      </c>
      <c r="G805" s="18" t="s">
        <v>907</v>
      </c>
      <c r="H805" s="18">
        <v>74122000</v>
      </c>
      <c r="I805" s="17">
        <v>0.18</v>
      </c>
      <c r="J805" s="18" t="s">
        <v>2655</v>
      </c>
    </row>
    <row r="806" spans="1:10" ht="13" x14ac:dyDescent="0.3">
      <c r="A806" s="34" t="s">
        <v>948</v>
      </c>
      <c r="B806" s="23" t="s">
        <v>1603</v>
      </c>
      <c r="C806" s="13" t="s">
        <v>107</v>
      </c>
      <c r="D806" s="18">
        <v>1</v>
      </c>
      <c r="E806" s="15">
        <v>1947</v>
      </c>
      <c r="F806" s="23" t="s">
        <v>1603</v>
      </c>
      <c r="G806" s="18" t="s">
        <v>907</v>
      </c>
      <c r="H806" s="18">
        <v>74122000</v>
      </c>
      <c r="I806" s="17">
        <v>0.18</v>
      </c>
      <c r="J806" s="18" t="s">
        <v>2655</v>
      </c>
    </row>
    <row r="807" spans="1:10" ht="13" x14ac:dyDescent="0.3">
      <c r="A807" s="34" t="s">
        <v>1604</v>
      </c>
      <c r="B807" s="23" t="s">
        <v>1605</v>
      </c>
      <c r="C807" s="13" t="s">
        <v>88</v>
      </c>
      <c r="D807" s="18">
        <v>1</v>
      </c>
      <c r="E807" s="15">
        <v>13716</v>
      </c>
      <c r="F807" s="23" t="s">
        <v>1605</v>
      </c>
      <c r="G807" s="18" t="s">
        <v>907</v>
      </c>
      <c r="H807" s="18">
        <v>74122000</v>
      </c>
      <c r="I807" s="17">
        <v>0.18</v>
      </c>
      <c r="J807" s="18" t="s">
        <v>2655</v>
      </c>
    </row>
    <row r="808" spans="1:10" ht="13" x14ac:dyDescent="0.3">
      <c r="A808" s="34" t="s">
        <v>1606</v>
      </c>
      <c r="B808" s="23" t="s">
        <v>1607</v>
      </c>
      <c r="C808" s="13" t="s">
        <v>2357</v>
      </c>
      <c r="D808" s="18">
        <v>1</v>
      </c>
      <c r="E808" s="15">
        <v>29184</v>
      </c>
      <c r="F808" s="23" t="s">
        <v>1607</v>
      </c>
      <c r="G808" s="18" t="s">
        <v>907</v>
      </c>
      <c r="H808" s="18">
        <v>74122000</v>
      </c>
      <c r="I808" s="17">
        <v>0.18</v>
      </c>
      <c r="J808" s="18" t="s">
        <v>2655</v>
      </c>
    </row>
    <row r="809" spans="1:10" ht="13" x14ac:dyDescent="0.3">
      <c r="A809" s="34" t="s">
        <v>1608</v>
      </c>
      <c r="B809" s="23" t="s">
        <v>1609</v>
      </c>
      <c r="C809" s="13" t="s">
        <v>2358</v>
      </c>
      <c r="D809" s="18">
        <v>1</v>
      </c>
      <c r="E809" s="15">
        <v>28651</v>
      </c>
      <c r="F809" s="23" t="s">
        <v>1609</v>
      </c>
      <c r="G809" s="18" t="s">
        <v>907</v>
      </c>
      <c r="H809" s="18">
        <v>74122000</v>
      </c>
      <c r="I809" s="17">
        <v>0.18</v>
      </c>
      <c r="J809" s="18" t="s">
        <v>2655</v>
      </c>
    </row>
    <row r="810" spans="1:10" ht="13" x14ac:dyDescent="0.3">
      <c r="A810" s="34" t="s">
        <v>1610</v>
      </c>
      <c r="B810" s="23" t="s">
        <v>1611</v>
      </c>
      <c r="C810" s="13" t="s">
        <v>2359</v>
      </c>
      <c r="D810" s="18">
        <v>1</v>
      </c>
      <c r="E810" s="15">
        <v>85877</v>
      </c>
      <c r="F810" s="23" t="s">
        <v>1611</v>
      </c>
      <c r="G810" s="18" t="s">
        <v>907</v>
      </c>
      <c r="H810" s="18">
        <v>74122000</v>
      </c>
      <c r="I810" s="17">
        <v>0.18</v>
      </c>
      <c r="J810" s="18" t="s">
        <v>2655</v>
      </c>
    </row>
    <row r="811" spans="1:10" ht="13" x14ac:dyDescent="0.3">
      <c r="A811" s="34" t="s">
        <v>1612</v>
      </c>
      <c r="B811" s="23" t="s">
        <v>1613</v>
      </c>
      <c r="C811" s="13" t="s">
        <v>2360</v>
      </c>
      <c r="D811" s="18">
        <v>1</v>
      </c>
      <c r="E811" s="15">
        <v>75642</v>
      </c>
      <c r="F811" s="23" t="s">
        <v>1613</v>
      </c>
      <c r="G811" s="18" t="s">
        <v>907</v>
      </c>
      <c r="H811" s="18">
        <v>74122000</v>
      </c>
      <c r="I811" s="17">
        <v>0.18</v>
      </c>
      <c r="J811" s="18" t="s">
        <v>2655</v>
      </c>
    </row>
    <row r="812" spans="1:10" ht="13" x14ac:dyDescent="0.3">
      <c r="A812" s="34" t="s">
        <v>949</v>
      </c>
      <c r="B812" s="23" t="s">
        <v>1614</v>
      </c>
      <c r="C812" s="13" t="s">
        <v>721</v>
      </c>
      <c r="D812" s="18">
        <v>20</v>
      </c>
      <c r="E812" s="15">
        <v>256</v>
      </c>
      <c r="F812" s="23" t="s">
        <v>1614</v>
      </c>
      <c r="G812" s="18" t="s">
        <v>907</v>
      </c>
      <c r="H812" s="18">
        <v>74122000</v>
      </c>
      <c r="I812" s="17">
        <v>0.18</v>
      </c>
      <c r="J812" s="18" t="s">
        <v>2655</v>
      </c>
    </row>
    <row r="813" spans="1:10" ht="13" x14ac:dyDescent="0.3">
      <c r="A813" s="34" t="s">
        <v>950</v>
      </c>
      <c r="B813" s="23" t="s">
        <v>1615</v>
      </c>
      <c r="C813" s="13" t="s">
        <v>724</v>
      </c>
      <c r="D813" s="18">
        <v>10</v>
      </c>
      <c r="E813" s="15">
        <v>299</v>
      </c>
      <c r="F813" s="23" t="s">
        <v>1615</v>
      </c>
      <c r="G813" s="18" t="s">
        <v>907</v>
      </c>
      <c r="H813" s="18">
        <v>74122000</v>
      </c>
      <c r="I813" s="17">
        <v>0.18</v>
      </c>
      <c r="J813" s="18" t="s">
        <v>2655</v>
      </c>
    </row>
    <row r="814" spans="1:10" ht="13" x14ac:dyDescent="0.3">
      <c r="A814" s="34" t="s">
        <v>951</v>
      </c>
      <c r="B814" s="23" t="s">
        <v>1616</v>
      </c>
      <c r="C814" s="13" t="s">
        <v>723</v>
      </c>
      <c r="D814" s="18">
        <v>10</v>
      </c>
      <c r="E814" s="15">
        <v>262</v>
      </c>
      <c r="F814" s="23" t="s">
        <v>1616</v>
      </c>
      <c r="G814" s="18" t="s">
        <v>907</v>
      </c>
      <c r="H814" s="18">
        <v>74122000</v>
      </c>
      <c r="I814" s="17">
        <v>0.18</v>
      </c>
      <c r="J814" s="18" t="s">
        <v>2655</v>
      </c>
    </row>
    <row r="815" spans="1:10" ht="13" x14ac:dyDescent="0.3">
      <c r="A815" s="34" t="s">
        <v>953</v>
      </c>
      <c r="B815" s="23" t="s">
        <v>1617</v>
      </c>
      <c r="C815" s="13" t="s">
        <v>726</v>
      </c>
      <c r="D815" s="18">
        <v>10</v>
      </c>
      <c r="E815" s="15">
        <v>582</v>
      </c>
      <c r="F815" s="23" t="s">
        <v>1617</v>
      </c>
      <c r="G815" s="18" t="s">
        <v>907</v>
      </c>
      <c r="H815" s="18">
        <v>74122000</v>
      </c>
      <c r="I815" s="17">
        <v>0.18</v>
      </c>
      <c r="J815" s="18" t="s">
        <v>2655</v>
      </c>
    </row>
    <row r="816" spans="1:10" ht="13" x14ac:dyDescent="0.3">
      <c r="A816" s="34" t="s">
        <v>952</v>
      </c>
      <c r="B816" s="23" t="s">
        <v>1618</v>
      </c>
      <c r="C816" s="13" t="s">
        <v>725</v>
      </c>
      <c r="D816" s="18">
        <v>10</v>
      </c>
      <c r="E816" s="15">
        <v>310</v>
      </c>
      <c r="F816" s="23" t="s">
        <v>1618</v>
      </c>
      <c r="G816" s="18" t="s">
        <v>907</v>
      </c>
      <c r="H816" s="18">
        <v>74122000</v>
      </c>
      <c r="I816" s="17">
        <v>0.18</v>
      </c>
      <c r="J816" s="18" t="s">
        <v>2655</v>
      </c>
    </row>
    <row r="817" spans="1:10" ht="13" x14ac:dyDescent="0.3">
      <c r="A817" s="34" t="s">
        <v>954</v>
      </c>
      <c r="B817" s="23" t="s">
        <v>1619</v>
      </c>
      <c r="C817" s="13" t="s">
        <v>2051</v>
      </c>
      <c r="D817" s="18">
        <v>5</v>
      </c>
      <c r="E817" s="15">
        <v>1953</v>
      </c>
      <c r="F817" s="23" t="s">
        <v>1619</v>
      </c>
      <c r="G817" s="18" t="s">
        <v>907</v>
      </c>
      <c r="H817" s="18">
        <v>74122000</v>
      </c>
      <c r="I817" s="17">
        <v>0.18</v>
      </c>
      <c r="J817" s="18" t="s">
        <v>2655</v>
      </c>
    </row>
    <row r="818" spans="1:10" ht="13" x14ac:dyDescent="0.3">
      <c r="A818" s="34" t="s">
        <v>955</v>
      </c>
      <c r="B818" s="23" t="s">
        <v>1620</v>
      </c>
      <c r="C818" s="13" t="s">
        <v>2052</v>
      </c>
      <c r="D818" s="18">
        <v>4</v>
      </c>
      <c r="E818" s="15">
        <v>2908</v>
      </c>
      <c r="F818" s="23" t="s">
        <v>1620</v>
      </c>
      <c r="G818" s="18" t="s">
        <v>907</v>
      </c>
      <c r="H818" s="18">
        <v>74122000</v>
      </c>
      <c r="I818" s="17">
        <v>0.18</v>
      </c>
      <c r="J818" s="18" t="s">
        <v>2655</v>
      </c>
    </row>
    <row r="819" spans="1:10" ht="13" x14ac:dyDescent="0.3">
      <c r="A819" s="34" t="s">
        <v>956</v>
      </c>
      <c r="B819" s="23" t="s">
        <v>1621</v>
      </c>
      <c r="C819" s="13" t="s">
        <v>729</v>
      </c>
      <c r="D819" s="18">
        <v>2</v>
      </c>
      <c r="E819" s="15">
        <v>4195</v>
      </c>
      <c r="F819" s="23" t="s">
        <v>1621</v>
      </c>
      <c r="G819" s="18" t="s">
        <v>907</v>
      </c>
      <c r="H819" s="18">
        <v>74122000</v>
      </c>
      <c r="I819" s="17">
        <v>0.18</v>
      </c>
      <c r="J819" s="18" t="s">
        <v>2655</v>
      </c>
    </row>
    <row r="820" spans="1:10" ht="13" x14ac:dyDescent="0.3">
      <c r="A820" s="34" t="s">
        <v>957</v>
      </c>
      <c r="B820" s="23" t="s">
        <v>1622</v>
      </c>
      <c r="C820" s="13" t="s">
        <v>2053</v>
      </c>
      <c r="D820" s="18">
        <v>1</v>
      </c>
      <c r="E820" s="15">
        <v>7506</v>
      </c>
      <c r="F820" s="23" t="s">
        <v>1622</v>
      </c>
      <c r="G820" s="18" t="s">
        <v>907</v>
      </c>
      <c r="H820" s="18">
        <v>74122000</v>
      </c>
      <c r="I820" s="17">
        <v>0.18</v>
      </c>
      <c r="J820" s="18" t="s">
        <v>2655</v>
      </c>
    </row>
    <row r="821" spans="1:10" ht="13" x14ac:dyDescent="0.3">
      <c r="A821" s="34" t="s">
        <v>958</v>
      </c>
      <c r="B821" s="23" t="s">
        <v>1623</v>
      </c>
      <c r="C821" s="13" t="s">
        <v>731</v>
      </c>
      <c r="D821" s="18">
        <v>1</v>
      </c>
      <c r="E821" s="15">
        <v>9404</v>
      </c>
      <c r="F821" s="23" t="s">
        <v>1623</v>
      </c>
      <c r="G821" s="18" t="s">
        <v>907</v>
      </c>
      <c r="H821" s="18">
        <v>74122000</v>
      </c>
      <c r="I821" s="17">
        <v>0.18</v>
      </c>
      <c r="J821" s="18" t="s">
        <v>2655</v>
      </c>
    </row>
    <row r="822" spans="1:10" ht="13" x14ac:dyDescent="0.3">
      <c r="A822" s="34" t="s">
        <v>959</v>
      </c>
      <c r="B822" s="23" t="s">
        <v>1623</v>
      </c>
      <c r="C822" s="13" t="s">
        <v>731</v>
      </c>
      <c r="D822" s="18">
        <v>1</v>
      </c>
      <c r="E822" s="15">
        <v>15232</v>
      </c>
      <c r="F822" s="23" t="s">
        <v>1623</v>
      </c>
      <c r="G822" s="18" t="s">
        <v>907</v>
      </c>
      <c r="H822" s="18">
        <v>74122000</v>
      </c>
      <c r="I822" s="17">
        <v>0.18</v>
      </c>
      <c r="J822" s="18" t="s">
        <v>2655</v>
      </c>
    </row>
    <row r="823" spans="1:10" ht="13" x14ac:dyDescent="0.3">
      <c r="A823" s="34" t="s">
        <v>960</v>
      </c>
      <c r="B823" s="23" t="s">
        <v>1624</v>
      </c>
      <c r="C823" s="13" t="s">
        <v>721</v>
      </c>
      <c r="D823" s="18">
        <v>20</v>
      </c>
      <c r="E823" s="15">
        <v>333</v>
      </c>
      <c r="F823" s="23" t="s">
        <v>1624</v>
      </c>
      <c r="G823" s="18" t="s">
        <v>907</v>
      </c>
      <c r="H823" s="18">
        <v>74122000</v>
      </c>
      <c r="I823" s="17">
        <v>0.18</v>
      </c>
      <c r="J823" s="18" t="s">
        <v>2655</v>
      </c>
    </row>
    <row r="824" spans="1:10" ht="13" x14ac:dyDescent="0.3">
      <c r="A824" s="34" t="s">
        <v>961</v>
      </c>
      <c r="B824" s="23" t="s">
        <v>1625</v>
      </c>
      <c r="C824" s="13" t="s">
        <v>724</v>
      </c>
      <c r="D824" s="18">
        <v>10</v>
      </c>
      <c r="E824" s="15">
        <v>511</v>
      </c>
      <c r="F824" s="23" t="s">
        <v>1625</v>
      </c>
      <c r="G824" s="18" t="s">
        <v>907</v>
      </c>
      <c r="H824" s="18">
        <v>74122000</v>
      </c>
      <c r="I824" s="17">
        <v>0.18</v>
      </c>
      <c r="J824" s="18" t="s">
        <v>2655</v>
      </c>
    </row>
    <row r="825" spans="1:10" ht="13" x14ac:dyDescent="0.3">
      <c r="A825" s="34" t="s">
        <v>962</v>
      </c>
      <c r="B825" s="23" t="s">
        <v>1626</v>
      </c>
      <c r="C825" s="13" t="s">
        <v>723</v>
      </c>
      <c r="D825" s="18">
        <v>10</v>
      </c>
      <c r="E825" s="15">
        <v>338</v>
      </c>
      <c r="F825" s="23" t="s">
        <v>1626</v>
      </c>
      <c r="G825" s="18" t="s">
        <v>907</v>
      </c>
      <c r="H825" s="18">
        <v>74122000</v>
      </c>
      <c r="I825" s="17">
        <v>0.18</v>
      </c>
      <c r="J825" s="18" t="s">
        <v>2655</v>
      </c>
    </row>
    <row r="826" spans="1:10" ht="13" x14ac:dyDescent="0.3">
      <c r="A826" s="34" t="s">
        <v>964</v>
      </c>
      <c r="B826" s="23" t="s">
        <v>1627</v>
      </c>
      <c r="C826" s="13" t="s">
        <v>726</v>
      </c>
      <c r="D826" s="18">
        <v>10</v>
      </c>
      <c r="E826" s="15">
        <v>702</v>
      </c>
      <c r="F826" s="23" t="s">
        <v>1627</v>
      </c>
      <c r="G826" s="18" t="s">
        <v>907</v>
      </c>
      <c r="H826" s="18">
        <v>74122000</v>
      </c>
      <c r="I826" s="17">
        <v>0.18</v>
      </c>
      <c r="J826" s="18" t="s">
        <v>2655</v>
      </c>
    </row>
    <row r="827" spans="1:10" ht="13" x14ac:dyDescent="0.3">
      <c r="A827" s="34" t="s">
        <v>963</v>
      </c>
      <c r="B827" s="23" t="s">
        <v>1628</v>
      </c>
      <c r="C827" s="13" t="s">
        <v>725</v>
      </c>
      <c r="D827" s="18">
        <v>10</v>
      </c>
      <c r="E827" s="15">
        <v>521</v>
      </c>
      <c r="F827" s="23" t="s">
        <v>1628</v>
      </c>
      <c r="G827" s="18" t="s">
        <v>907</v>
      </c>
      <c r="H827" s="18">
        <v>74122000</v>
      </c>
      <c r="I827" s="17">
        <v>0.18</v>
      </c>
      <c r="J827" s="18" t="s">
        <v>2655</v>
      </c>
    </row>
    <row r="828" spans="1:10" ht="13" x14ac:dyDescent="0.3">
      <c r="A828" s="34" t="s">
        <v>965</v>
      </c>
      <c r="B828" s="23" t="s">
        <v>1629</v>
      </c>
      <c r="C828" s="13" t="s">
        <v>2051</v>
      </c>
      <c r="D828" s="18">
        <v>4</v>
      </c>
      <c r="E828" s="15">
        <v>2345</v>
      </c>
      <c r="F828" s="23" t="s">
        <v>1629</v>
      </c>
      <c r="G828" s="18" t="s">
        <v>907</v>
      </c>
      <c r="H828" s="18">
        <v>74122000</v>
      </c>
      <c r="I828" s="17">
        <v>0.18</v>
      </c>
      <c r="J828" s="18" t="s">
        <v>2655</v>
      </c>
    </row>
    <row r="829" spans="1:10" ht="13" x14ac:dyDescent="0.3">
      <c r="A829" s="34" t="s">
        <v>966</v>
      </c>
      <c r="B829" s="23" t="s">
        <v>1630</v>
      </c>
      <c r="C829" s="13" t="s">
        <v>2052</v>
      </c>
      <c r="D829" s="18">
        <v>4</v>
      </c>
      <c r="E829" s="15">
        <v>4518</v>
      </c>
      <c r="F829" s="23" t="s">
        <v>1630</v>
      </c>
      <c r="G829" s="18" t="s">
        <v>907</v>
      </c>
      <c r="H829" s="18">
        <v>74122000</v>
      </c>
      <c r="I829" s="17">
        <v>0.18</v>
      </c>
      <c r="J829" s="18" t="s">
        <v>2655</v>
      </c>
    </row>
    <row r="830" spans="1:10" ht="13" x14ac:dyDescent="0.3">
      <c r="A830" s="34" t="s">
        <v>967</v>
      </c>
      <c r="B830" s="23" t="s">
        <v>1631</v>
      </c>
      <c r="C830" s="13" t="s">
        <v>729</v>
      </c>
      <c r="D830" s="18">
        <v>2</v>
      </c>
      <c r="E830" s="15">
        <v>6622</v>
      </c>
      <c r="F830" s="23" t="s">
        <v>1631</v>
      </c>
      <c r="G830" s="18" t="s">
        <v>907</v>
      </c>
      <c r="H830" s="18">
        <v>74122000</v>
      </c>
      <c r="I830" s="17">
        <v>0.18</v>
      </c>
      <c r="J830" s="18" t="s">
        <v>2655</v>
      </c>
    </row>
    <row r="831" spans="1:10" ht="13" x14ac:dyDescent="0.3">
      <c r="A831" s="34" t="s">
        <v>968</v>
      </c>
      <c r="B831" s="23" t="s">
        <v>1632</v>
      </c>
      <c r="C831" s="13" t="s">
        <v>2053</v>
      </c>
      <c r="D831" s="18">
        <v>1</v>
      </c>
      <c r="E831" s="15">
        <v>10145</v>
      </c>
      <c r="F831" s="23" t="s">
        <v>1632</v>
      </c>
      <c r="G831" s="18" t="s">
        <v>907</v>
      </c>
      <c r="H831" s="18">
        <v>74122000</v>
      </c>
      <c r="I831" s="17">
        <v>0.18</v>
      </c>
      <c r="J831" s="18" t="s">
        <v>2655</v>
      </c>
    </row>
    <row r="832" spans="1:10" ht="13" x14ac:dyDescent="0.3">
      <c r="A832" s="34" t="s">
        <v>969</v>
      </c>
      <c r="B832" s="23" t="s">
        <v>1633</v>
      </c>
      <c r="C832" s="13" t="s">
        <v>731</v>
      </c>
      <c r="D832" s="18">
        <v>1</v>
      </c>
      <c r="E832" s="15">
        <v>13627</v>
      </c>
      <c r="F832" s="23" t="s">
        <v>1633</v>
      </c>
      <c r="G832" s="18" t="s">
        <v>907</v>
      </c>
      <c r="H832" s="18">
        <v>74122000</v>
      </c>
      <c r="I832" s="17">
        <v>0.18</v>
      </c>
      <c r="J832" s="18" t="s">
        <v>2655</v>
      </c>
    </row>
    <row r="833" spans="1:10" ht="13" x14ac:dyDescent="0.3">
      <c r="A833" s="34" t="s">
        <v>970</v>
      </c>
      <c r="B833" s="23" t="s">
        <v>1634</v>
      </c>
      <c r="C833" s="13" t="s">
        <v>732</v>
      </c>
      <c r="D833" s="18">
        <v>1</v>
      </c>
      <c r="E833" s="15">
        <v>21176</v>
      </c>
      <c r="F833" s="23" t="s">
        <v>1634</v>
      </c>
      <c r="G833" s="18" t="s">
        <v>907</v>
      </c>
      <c r="H833" s="18">
        <v>74122000</v>
      </c>
      <c r="I833" s="17">
        <v>0.18</v>
      </c>
      <c r="J833" s="18" t="s">
        <v>2655</v>
      </c>
    </row>
    <row r="834" spans="1:10" ht="13" x14ac:dyDescent="0.3">
      <c r="A834" s="34" t="s">
        <v>984</v>
      </c>
      <c r="B834" s="23" t="s">
        <v>1649</v>
      </c>
      <c r="C834" s="13" t="s">
        <v>721</v>
      </c>
      <c r="D834" s="18">
        <v>10</v>
      </c>
      <c r="E834" s="15">
        <v>1005</v>
      </c>
      <c r="F834" s="23" t="s">
        <v>1649</v>
      </c>
      <c r="G834" s="18" t="s">
        <v>907</v>
      </c>
      <c r="H834" s="18">
        <v>74122000</v>
      </c>
      <c r="I834" s="17">
        <v>0.18</v>
      </c>
      <c r="J834" s="18" t="s">
        <v>2655</v>
      </c>
    </row>
    <row r="835" spans="1:10" ht="13" x14ac:dyDescent="0.3">
      <c r="A835" s="34" t="s">
        <v>985</v>
      </c>
      <c r="B835" s="23" t="s">
        <v>1650</v>
      </c>
      <c r="C835" s="13" t="s">
        <v>724</v>
      </c>
      <c r="D835" s="18">
        <v>10</v>
      </c>
      <c r="E835" s="15">
        <v>1235</v>
      </c>
      <c r="F835" s="23" t="s">
        <v>1650</v>
      </c>
      <c r="G835" s="18" t="s">
        <v>907</v>
      </c>
      <c r="H835" s="18">
        <v>74122000</v>
      </c>
      <c r="I835" s="17">
        <v>0.18</v>
      </c>
      <c r="J835" s="18" t="s">
        <v>2655</v>
      </c>
    </row>
    <row r="836" spans="1:10" ht="13" x14ac:dyDescent="0.3">
      <c r="A836" s="34" t="s">
        <v>986</v>
      </c>
      <c r="B836" s="23" t="s">
        <v>1651</v>
      </c>
      <c r="C836" s="13" t="s">
        <v>726</v>
      </c>
      <c r="D836" s="18">
        <v>5</v>
      </c>
      <c r="E836" s="15">
        <v>1972</v>
      </c>
      <c r="F836" s="23" t="s">
        <v>1651</v>
      </c>
      <c r="G836" s="18" t="s">
        <v>907</v>
      </c>
      <c r="H836" s="18">
        <v>74122000</v>
      </c>
      <c r="I836" s="17">
        <v>0.18</v>
      </c>
      <c r="J836" s="18" t="s">
        <v>2655</v>
      </c>
    </row>
    <row r="837" spans="1:10" ht="13" x14ac:dyDescent="0.3">
      <c r="A837" s="34" t="s">
        <v>987</v>
      </c>
      <c r="B837" s="23" t="s">
        <v>1652</v>
      </c>
      <c r="C837" s="13" t="s">
        <v>2051</v>
      </c>
      <c r="D837" s="18">
        <v>2</v>
      </c>
      <c r="E837" s="15">
        <v>2158</v>
      </c>
      <c r="F837" s="23" t="s">
        <v>1652</v>
      </c>
      <c r="G837" s="18" t="s">
        <v>907</v>
      </c>
      <c r="H837" s="18">
        <v>74122000</v>
      </c>
      <c r="I837" s="17">
        <v>0.18</v>
      </c>
      <c r="J837" s="18" t="s">
        <v>2655</v>
      </c>
    </row>
    <row r="838" spans="1:10" ht="13" x14ac:dyDescent="0.3">
      <c r="A838" s="34" t="s">
        <v>988</v>
      </c>
      <c r="B838" s="23" t="s">
        <v>1653</v>
      </c>
      <c r="C838" s="13" t="s">
        <v>2052</v>
      </c>
      <c r="D838" s="18">
        <v>2</v>
      </c>
      <c r="E838" s="15">
        <v>3985</v>
      </c>
      <c r="F838" s="23" t="s">
        <v>1653</v>
      </c>
      <c r="G838" s="18" t="s">
        <v>907</v>
      </c>
      <c r="H838" s="18">
        <v>74122000</v>
      </c>
      <c r="I838" s="17">
        <v>0.18</v>
      </c>
      <c r="J838" s="18" t="s">
        <v>2655</v>
      </c>
    </row>
    <row r="839" spans="1:10" ht="13" x14ac:dyDescent="0.3">
      <c r="A839" s="34" t="s">
        <v>1635</v>
      </c>
      <c r="B839" s="23" t="s">
        <v>1636</v>
      </c>
      <c r="C839" s="13" t="s">
        <v>722</v>
      </c>
      <c r="D839" s="18">
        <v>10</v>
      </c>
      <c r="E839" s="15">
        <v>945</v>
      </c>
      <c r="F839" s="23" t="s">
        <v>1636</v>
      </c>
      <c r="G839" s="18" t="s">
        <v>907</v>
      </c>
      <c r="H839" s="18">
        <v>74122000</v>
      </c>
      <c r="I839" s="17">
        <v>0.18</v>
      </c>
      <c r="J839" s="18" t="s">
        <v>2655</v>
      </c>
    </row>
    <row r="840" spans="1:10" ht="13" x14ac:dyDescent="0.3">
      <c r="A840" s="34" t="s">
        <v>1637</v>
      </c>
      <c r="B840" s="23" t="s">
        <v>1638</v>
      </c>
      <c r="C840" s="13" t="s">
        <v>734</v>
      </c>
      <c r="D840" s="18">
        <v>10</v>
      </c>
      <c r="E840" s="15">
        <v>1423</v>
      </c>
      <c r="F840" s="23" t="s">
        <v>1638</v>
      </c>
      <c r="G840" s="18" t="s">
        <v>907</v>
      </c>
      <c r="H840" s="18">
        <v>74122000</v>
      </c>
      <c r="I840" s="17">
        <v>0.18</v>
      </c>
      <c r="J840" s="18" t="s">
        <v>2655</v>
      </c>
    </row>
    <row r="841" spans="1:10" ht="13" x14ac:dyDescent="0.3">
      <c r="A841" s="34" t="s">
        <v>1639</v>
      </c>
      <c r="B841" s="23" t="s">
        <v>1640</v>
      </c>
      <c r="C841" s="13" t="s">
        <v>724</v>
      </c>
      <c r="D841" s="18">
        <v>10</v>
      </c>
      <c r="E841" s="15">
        <v>951</v>
      </c>
      <c r="F841" s="23" t="s">
        <v>1640</v>
      </c>
      <c r="G841" s="18" t="s">
        <v>907</v>
      </c>
      <c r="H841" s="18">
        <v>74122000</v>
      </c>
      <c r="I841" s="17">
        <v>0.18</v>
      </c>
      <c r="J841" s="18" t="s">
        <v>2655</v>
      </c>
    </row>
    <row r="842" spans="1:10" ht="13" x14ac:dyDescent="0.3">
      <c r="A842" s="34" t="s">
        <v>1641</v>
      </c>
      <c r="B842" s="23" t="s">
        <v>1642</v>
      </c>
      <c r="C842" s="13" t="s">
        <v>1878</v>
      </c>
      <c r="D842" s="18">
        <v>5</v>
      </c>
      <c r="E842" s="104">
        <v>2774</v>
      </c>
      <c r="F842" s="23" t="s">
        <v>1642</v>
      </c>
      <c r="G842" s="18" t="s">
        <v>907</v>
      </c>
      <c r="H842" s="18">
        <v>74122000</v>
      </c>
      <c r="I842" s="17">
        <v>0.18</v>
      </c>
      <c r="J842" s="18" t="s">
        <v>2655</v>
      </c>
    </row>
    <row r="843" spans="1:10" ht="13" x14ac:dyDescent="0.3">
      <c r="A843" s="34" t="s">
        <v>1643</v>
      </c>
      <c r="B843" s="23" t="s">
        <v>1644</v>
      </c>
      <c r="C843" s="13" t="s">
        <v>726</v>
      </c>
      <c r="D843" s="18">
        <v>5</v>
      </c>
      <c r="E843" s="15">
        <v>1435</v>
      </c>
      <c r="F843" s="23" t="s">
        <v>1644</v>
      </c>
      <c r="G843" s="18" t="s">
        <v>907</v>
      </c>
      <c r="H843" s="18">
        <v>74122000</v>
      </c>
      <c r="I843" s="17">
        <v>0.18</v>
      </c>
      <c r="J843" s="18" t="s">
        <v>2655</v>
      </c>
    </row>
    <row r="844" spans="1:10" ht="13" x14ac:dyDescent="0.3">
      <c r="A844" s="34" t="s">
        <v>989</v>
      </c>
      <c r="B844" s="23" t="s">
        <v>1645</v>
      </c>
      <c r="C844" s="13" t="s">
        <v>2054</v>
      </c>
      <c r="D844" s="18">
        <v>3</v>
      </c>
      <c r="E844" s="15">
        <v>4551</v>
      </c>
      <c r="F844" s="23" t="s">
        <v>1645</v>
      </c>
      <c r="G844" s="18" t="s">
        <v>907</v>
      </c>
      <c r="H844" s="18">
        <v>74122000</v>
      </c>
      <c r="I844" s="17">
        <v>0.18</v>
      </c>
      <c r="J844" s="18" t="s">
        <v>2655</v>
      </c>
    </row>
    <row r="845" spans="1:10" ht="13" x14ac:dyDescent="0.3">
      <c r="A845" s="34" t="s">
        <v>990</v>
      </c>
      <c r="B845" s="23" t="s">
        <v>1646</v>
      </c>
      <c r="C845" s="13" t="s">
        <v>991</v>
      </c>
      <c r="D845" s="18">
        <v>2</v>
      </c>
      <c r="E845" s="15">
        <v>7275</v>
      </c>
      <c r="F845" s="23" t="s">
        <v>1646</v>
      </c>
      <c r="G845" s="18" t="s">
        <v>907</v>
      </c>
      <c r="H845" s="18">
        <v>74122000</v>
      </c>
      <c r="I845" s="17">
        <v>0.18</v>
      </c>
      <c r="J845" s="18" t="s">
        <v>2655</v>
      </c>
    </row>
    <row r="846" spans="1:10" ht="13" x14ac:dyDescent="0.3">
      <c r="A846" s="34" t="s">
        <v>992</v>
      </c>
      <c r="B846" s="23" t="s">
        <v>1647</v>
      </c>
      <c r="C846" s="13" t="s">
        <v>2055</v>
      </c>
      <c r="D846" s="18">
        <v>1</v>
      </c>
      <c r="E846" s="15">
        <v>11391</v>
      </c>
      <c r="F846" s="23" t="s">
        <v>1647</v>
      </c>
      <c r="G846" s="18" t="s">
        <v>907</v>
      </c>
      <c r="H846" s="18">
        <v>74122000</v>
      </c>
      <c r="I846" s="17">
        <v>0.18</v>
      </c>
      <c r="J846" s="18" t="s">
        <v>2655</v>
      </c>
    </row>
    <row r="847" spans="1:10" ht="13" x14ac:dyDescent="0.3">
      <c r="A847" s="34" t="s">
        <v>993</v>
      </c>
      <c r="B847" s="23" t="s">
        <v>1648</v>
      </c>
      <c r="C847" s="13" t="s">
        <v>994</v>
      </c>
      <c r="D847" s="18">
        <v>1</v>
      </c>
      <c r="E847" s="15">
        <v>21595</v>
      </c>
      <c r="F847" s="23" t="s">
        <v>1648</v>
      </c>
      <c r="G847" s="18" t="s">
        <v>907</v>
      </c>
      <c r="H847" s="18">
        <v>74122000</v>
      </c>
      <c r="I847" s="17">
        <v>0.18</v>
      </c>
      <c r="J847" s="18" t="s">
        <v>2655</v>
      </c>
    </row>
    <row r="848" spans="1:10" ht="13" x14ac:dyDescent="0.3">
      <c r="A848" s="34" t="s">
        <v>979</v>
      </c>
      <c r="B848" s="23" t="s">
        <v>1654</v>
      </c>
      <c r="C848" s="13" t="s">
        <v>721</v>
      </c>
      <c r="D848" s="18">
        <v>10</v>
      </c>
      <c r="E848" s="15">
        <v>1093</v>
      </c>
      <c r="F848" s="23" t="s">
        <v>1654</v>
      </c>
      <c r="G848" s="18" t="s">
        <v>907</v>
      </c>
      <c r="H848" s="18">
        <v>74122000</v>
      </c>
      <c r="I848" s="17">
        <v>0.18</v>
      </c>
      <c r="J848" s="18" t="s">
        <v>2655</v>
      </c>
    </row>
    <row r="849" spans="1:10" ht="13" x14ac:dyDescent="0.3">
      <c r="A849" s="34" t="s">
        <v>980</v>
      </c>
      <c r="B849" s="23" t="s">
        <v>1655</v>
      </c>
      <c r="C849" s="13" t="s">
        <v>724</v>
      </c>
      <c r="D849" s="18">
        <v>10</v>
      </c>
      <c r="E849" s="15">
        <v>1366</v>
      </c>
      <c r="F849" s="23" t="s">
        <v>1655</v>
      </c>
      <c r="G849" s="18" t="s">
        <v>907</v>
      </c>
      <c r="H849" s="18">
        <v>74122000</v>
      </c>
      <c r="I849" s="17">
        <v>0.18</v>
      </c>
      <c r="J849" s="18" t="s">
        <v>2655</v>
      </c>
    </row>
    <row r="850" spans="1:10" ht="13" x14ac:dyDescent="0.3">
      <c r="A850" s="34" t="s">
        <v>981</v>
      </c>
      <c r="B850" s="23" t="s">
        <v>1656</v>
      </c>
      <c r="C850" s="13" t="s">
        <v>726</v>
      </c>
      <c r="D850" s="18">
        <v>5</v>
      </c>
      <c r="E850" s="15">
        <v>2193</v>
      </c>
      <c r="F850" s="23" t="s">
        <v>1656</v>
      </c>
      <c r="G850" s="18" t="s">
        <v>907</v>
      </c>
      <c r="H850" s="18">
        <v>74122000</v>
      </c>
      <c r="I850" s="17">
        <v>0.18</v>
      </c>
      <c r="J850" s="18" t="s">
        <v>2654</v>
      </c>
    </row>
    <row r="851" spans="1:10" ht="13" x14ac:dyDescent="0.3">
      <c r="A851" s="34" t="s">
        <v>982</v>
      </c>
      <c r="B851" s="23" t="s">
        <v>1657</v>
      </c>
      <c r="C851" s="13" t="s">
        <v>2051</v>
      </c>
      <c r="D851" s="18">
        <v>2</v>
      </c>
      <c r="E851" s="15">
        <v>2569</v>
      </c>
      <c r="F851" s="23" t="s">
        <v>1657</v>
      </c>
      <c r="G851" s="18" t="s">
        <v>907</v>
      </c>
      <c r="H851" s="18">
        <v>74122000</v>
      </c>
      <c r="I851" s="17">
        <v>0.18</v>
      </c>
      <c r="J851" s="18" t="s">
        <v>2655</v>
      </c>
    </row>
    <row r="852" spans="1:10" ht="13" x14ac:dyDescent="0.3">
      <c r="A852" s="34" t="s">
        <v>983</v>
      </c>
      <c r="B852" s="23" t="s">
        <v>1658</v>
      </c>
      <c r="C852" s="13" t="s">
        <v>2052</v>
      </c>
      <c r="D852" s="18">
        <v>2</v>
      </c>
      <c r="E852" s="15">
        <v>4485</v>
      </c>
      <c r="F852" s="23" t="s">
        <v>1658</v>
      </c>
      <c r="G852" s="18" t="s">
        <v>907</v>
      </c>
      <c r="H852" s="18">
        <v>74122000</v>
      </c>
      <c r="I852" s="17">
        <v>0.18</v>
      </c>
      <c r="J852" s="18" t="s">
        <v>2655</v>
      </c>
    </row>
    <row r="853" spans="1:10" ht="13" x14ac:dyDescent="0.3">
      <c r="A853" s="34" t="s">
        <v>974</v>
      </c>
      <c r="B853" s="23" t="s">
        <v>1659</v>
      </c>
      <c r="C853" s="13">
        <v>20</v>
      </c>
      <c r="D853" s="18">
        <v>10</v>
      </c>
      <c r="E853" s="15">
        <v>968</v>
      </c>
      <c r="F853" s="23" t="s">
        <v>1659</v>
      </c>
      <c r="G853" s="18" t="s">
        <v>907</v>
      </c>
      <c r="H853" s="18">
        <v>74122000</v>
      </c>
      <c r="I853" s="17">
        <v>0.18</v>
      </c>
      <c r="J853" s="18" t="s">
        <v>2655</v>
      </c>
    </row>
    <row r="854" spans="1:10" ht="13" x14ac:dyDescent="0.3">
      <c r="A854" s="34" t="s">
        <v>975</v>
      </c>
      <c r="B854" s="23" t="s">
        <v>1660</v>
      </c>
      <c r="C854" s="13">
        <v>25</v>
      </c>
      <c r="D854" s="18">
        <v>10</v>
      </c>
      <c r="E854" s="15">
        <v>1293</v>
      </c>
      <c r="F854" s="23" t="s">
        <v>1660</v>
      </c>
      <c r="G854" s="18" t="s">
        <v>907</v>
      </c>
      <c r="H854" s="18">
        <v>74122000</v>
      </c>
      <c r="I854" s="17">
        <v>0.18</v>
      </c>
      <c r="J854" s="18" t="s">
        <v>2655</v>
      </c>
    </row>
    <row r="855" spans="1:10" ht="13" x14ac:dyDescent="0.3">
      <c r="A855" s="34" t="s">
        <v>976</v>
      </c>
      <c r="B855" s="23" t="s">
        <v>1661</v>
      </c>
      <c r="C855" s="13">
        <v>32</v>
      </c>
      <c r="D855" s="18">
        <v>5</v>
      </c>
      <c r="E855" s="15">
        <v>1931</v>
      </c>
      <c r="F855" s="23" t="s">
        <v>1661</v>
      </c>
      <c r="G855" s="18" t="s">
        <v>907</v>
      </c>
      <c r="H855" s="18">
        <v>74122000</v>
      </c>
      <c r="I855" s="17">
        <v>0.18</v>
      </c>
      <c r="J855" s="18" t="s">
        <v>2655</v>
      </c>
    </row>
    <row r="856" spans="1:10" ht="13" x14ac:dyDescent="0.3">
      <c r="A856" s="34" t="s">
        <v>977</v>
      </c>
      <c r="B856" s="23" t="s">
        <v>1662</v>
      </c>
      <c r="C856" s="13">
        <v>40</v>
      </c>
      <c r="D856" s="18">
        <v>2</v>
      </c>
      <c r="E856" s="15">
        <v>2536</v>
      </c>
      <c r="F856" s="23" t="s">
        <v>1662</v>
      </c>
      <c r="G856" s="18" t="s">
        <v>907</v>
      </c>
      <c r="H856" s="18">
        <v>74122000</v>
      </c>
      <c r="I856" s="17">
        <v>0.18</v>
      </c>
      <c r="J856" s="18" t="s">
        <v>2655</v>
      </c>
    </row>
    <row r="857" spans="1:10" ht="13" x14ac:dyDescent="0.3">
      <c r="A857" s="34" t="s">
        <v>978</v>
      </c>
      <c r="B857" s="23" t="s">
        <v>1663</v>
      </c>
      <c r="C857" s="13">
        <v>50</v>
      </c>
      <c r="D857" s="18">
        <v>2</v>
      </c>
      <c r="E857" s="15">
        <v>4174</v>
      </c>
      <c r="F857" s="23" t="s">
        <v>1663</v>
      </c>
      <c r="G857" s="18" t="s">
        <v>907</v>
      </c>
      <c r="H857" s="18">
        <v>74122000</v>
      </c>
      <c r="I857" s="17">
        <v>0.18</v>
      </c>
      <c r="J857" s="18" t="s">
        <v>2655</v>
      </c>
    </row>
    <row r="858" spans="1:10" ht="13" x14ac:dyDescent="0.3">
      <c r="A858" s="34" t="s">
        <v>1253</v>
      </c>
      <c r="B858" s="23" t="s">
        <v>1664</v>
      </c>
      <c r="C858" s="13">
        <v>63</v>
      </c>
      <c r="D858" s="18">
        <v>2</v>
      </c>
      <c r="E858" s="15">
        <v>5674</v>
      </c>
      <c r="F858" s="23" t="s">
        <v>1664</v>
      </c>
      <c r="G858" s="18" t="s">
        <v>907</v>
      </c>
      <c r="H858" s="18">
        <v>74122000</v>
      </c>
      <c r="I858" s="17">
        <v>0.18</v>
      </c>
      <c r="J858" s="18" t="s">
        <v>2655</v>
      </c>
    </row>
    <row r="859" spans="1:10" ht="13" x14ac:dyDescent="0.3">
      <c r="A859" s="34" t="s">
        <v>1009</v>
      </c>
      <c r="B859" s="23" t="s">
        <v>1665</v>
      </c>
      <c r="C859" s="13" t="s">
        <v>2361</v>
      </c>
      <c r="D859" s="18">
        <v>50</v>
      </c>
      <c r="E859" s="15">
        <v>54</v>
      </c>
      <c r="F859" s="23" t="s">
        <v>1665</v>
      </c>
      <c r="G859" s="18" t="s">
        <v>907</v>
      </c>
      <c r="H859" s="18">
        <v>74122000</v>
      </c>
      <c r="I859" s="17">
        <v>0.18</v>
      </c>
      <c r="J859" s="18" t="s">
        <v>2655</v>
      </c>
    </row>
    <row r="860" spans="1:10" ht="13" x14ac:dyDescent="0.3">
      <c r="A860" s="34" t="s">
        <v>1011</v>
      </c>
      <c r="B860" s="23" t="s">
        <v>1666</v>
      </c>
      <c r="C860" s="13" t="s">
        <v>2362</v>
      </c>
      <c r="D860" s="18">
        <v>40</v>
      </c>
      <c r="E860" s="15">
        <v>58</v>
      </c>
      <c r="F860" s="23" t="s">
        <v>1666</v>
      </c>
      <c r="G860" s="18" t="s">
        <v>907</v>
      </c>
      <c r="H860" s="18">
        <v>74122000</v>
      </c>
      <c r="I860" s="17">
        <v>0.18</v>
      </c>
      <c r="J860" s="18" t="s">
        <v>2655</v>
      </c>
    </row>
    <row r="861" spans="1:10" ht="13" x14ac:dyDescent="0.3">
      <c r="A861" s="34" t="s">
        <v>1013</v>
      </c>
      <c r="B861" s="23" t="s">
        <v>1667</v>
      </c>
      <c r="C861" s="13" t="s">
        <v>2363</v>
      </c>
      <c r="D861" s="18">
        <v>20</v>
      </c>
      <c r="E861" s="15">
        <v>86</v>
      </c>
      <c r="F861" s="23" t="s">
        <v>1667</v>
      </c>
      <c r="G861" s="18" t="s">
        <v>907</v>
      </c>
      <c r="H861" s="18">
        <v>74122000</v>
      </c>
      <c r="I861" s="17">
        <v>0.18</v>
      </c>
      <c r="J861" s="18" t="s">
        <v>2655</v>
      </c>
    </row>
    <row r="862" spans="1:10" ht="13" x14ac:dyDescent="0.3">
      <c r="A862" s="34" t="s">
        <v>1015</v>
      </c>
      <c r="B862" s="23" t="s">
        <v>1668</v>
      </c>
      <c r="C862" s="13" t="s">
        <v>2364</v>
      </c>
      <c r="D862" s="18">
        <v>50</v>
      </c>
      <c r="E862" s="15">
        <v>56</v>
      </c>
      <c r="F862" s="23" t="s">
        <v>1668</v>
      </c>
      <c r="G862" s="18" t="s">
        <v>907</v>
      </c>
      <c r="H862" s="18">
        <v>74122000</v>
      </c>
      <c r="I862" s="17">
        <v>0.18</v>
      </c>
      <c r="J862" s="18" t="s">
        <v>2655</v>
      </c>
    </row>
    <row r="863" spans="1:10" ht="13" x14ac:dyDescent="0.3">
      <c r="A863" s="34" t="s">
        <v>1017</v>
      </c>
      <c r="B863" s="23" t="s">
        <v>1669</v>
      </c>
      <c r="C863" s="13" t="s">
        <v>2365</v>
      </c>
      <c r="D863" s="18">
        <v>40</v>
      </c>
      <c r="E863" s="15">
        <v>59</v>
      </c>
      <c r="F863" s="23" t="s">
        <v>1669</v>
      </c>
      <c r="G863" s="18" t="s">
        <v>907</v>
      </c>
      <c r="H863" s="18">
        <v>74122000</v>
      </c>
      <c r="I863" s="17">
        <v>0.18</v>
      </c>
      <c r="J863" s="18" t="s">
        <v>2655</v>
      </c>
    </row>
    <row r="864" spans="1:10" ht="13" x14ac:dyDescent="0.3">
      <c r="A864" s="34" t="s">
        <v>1019</v>
      </c>
      <c r="B864" s="23" t="s">
        <v>1670</v>
      </c>
      <c r="C864" s="13" t="s">
        <v>2366</v>
      </c>
      <c r="D864" s="18">
        <v>20</v>
      </c>
      <c r="E864" s="15">
        <v>87</v>
      </c>
      <c r="F864" s="23" t="s">
        <v>1670</v>
      </c>
      <c r="G864" s="18" t="s">
        <v>907</v>
      </c>
      <c r="H864" s="18">
        <v>74122000</v>
      </c>
      <c r="I864" s="17">
        <v>0.18</v>
      </c>
      <c r="J864" s="18" t="s">
        <v>2655</v>
      </c>
    </row>
    <row r="865" spans="1:10" ht="13" x14ac:dyDescent="0.3">
      <c r="A865" s="34" t="s">
        <v>1021</v>
      </c>
      <c r="B865" s="23" t="s">
        <v>1671</v>
      </c>
      <c r="C865" s="13" t="s">
        <v>2367</v>
      </c>
      <c r="D865" s="18">
        <v>20</v>
      </c>
      <c r="E865" s="15">
        <v>280</v>
      </c>
      <c r="F865" s="23" t="s">
        <v>1671</v>
      </c>
      <c r="G865" s="18" t="s">
        <v>907</v>
      </c>
      <c r="H865" s="18">
        <v>74122000</v>
      </c>
      <c r="I865" s="17">
        <v>0.18</v>
      </c>
      <c r="J865" s="18" t="s">
        <v>2655</v>
      </c>
    </row>
    <row r="866" spans="1:10" ht="13" x14ac:dyDescent="0.3">
      <c r="A866" s="34" t="s">
        <v>1023</v>
      </c>
      <c r="B866" s="23" t="s">
        <v>1672</v>
      </c>
      <c r="C866" s="13" t="s">
        <v>2368</v>
      </c>
      <c r="D866" s="18">
        <v>20</v>
      </c>
      <c r="E866" s="15">
        <v>307</v>
      </c>
      <c r="F866" s="23" t="s">
        <v>1672</v>
      </c>
      <c r="G866" s="18" t="s">
        <v>907</v>
      </c>
      <c r="H866" s="18">
        <v>74122000</v>
      </c>
      <c r="I866" s="17">
        <v>0.18</v>
      </c>
      <c r="J866" s="18" t="s">
        <v>2655</v>
      </c>
    </row>
    <row r="867" spans="1:10" ht="13" x14ac:dyDescent="0.3">
      <c r="A867" s="34" t="s">
        <v>1025</v>
      </c>
      <c r="B867" s="23" t="s">
        <v>1673</v>
      </c>
      <c r="C867" s="13" t="s">
        <v>2369</v>
      </c>
      <c r="D867" s="18">
        <v>20</v>
      </c>
      <c r="E867" s="15">
        <v>281</v>
      </c>
      <c r="F867" s="23" t="s">
        <v>1673</v>
      </c>
      <c r="G867" s="18" t="s">
        <v>907</v>
      </c>
      <c r="H867" s="18">
        <v>74122000</v>
      </c>
      <c r="I867" s="17">
        <v>0.18</v>
      </c>
      <c r="J867" s="18" t="s">
        <v>2655</v>
      </c>
    </row>
    <row r="868" spans="1:10" ht="13" x14ac:dyDescent="0.3">
      <c r="A868" s="34" t="s">
        <v>1027</v>
      </c>
      <c r="B868" s="23" t="s">
        <v>1674</v>
      </c>
      <c r="C868" s="13" t="s">
        <v>2370</v>
      </c>
      <c r="D868" s="18">
        <v>20</v>
      </c>
      <c r="E868" s="15">
        <v>309</v>
      </c>
      <c r="F868" s="23" t="s">
        <v>1674</v>
      </c>
      <c r="G868" s="18" t="s">
        <v>907</v>
      </c>
      <c r="H868" s="18">
        <v>74122000</v>
      </c>
      <c r="I868" s="17">
        <v>0.18</v>
      </c>
      <c r="J868" s="18" t="s">
        <v>2655</v>
      </c>
    </row>
    <row r="869" spans="1:10" ht="13" x14ac:dyDescent="0.3">
      <c r="A869" s="34" t="s">
        <v>1028</v>
      </c>
      <c r="B869" s="23" t="s">
        <v>1675</v>
      </c>
      <c r="C869" s="13" t="s">
        <v>2367</v>
      </c>
      <c r="D869" s="18">
        <v>20</v>
      </c>
      <c r="E869" s="15">
        <v>359</v>
      </c>
      <c r="F869" s="23" t="s">
        <v>1675</v>
      </c>
      <c r="G869" s="18" t="s">
        <v>907</v>
      </c>
      <c r="H869" s="18">
        <v>74122000</v>
      </c>
      <c r="I869" s="17">
        <v>0.18</v>
      </c>
      <c r="J869" s="18" t="s">
        <v>2655</v>
      </c>
    </row>
    <row r="870" spans="1:10" ht="13" x14ac:dyDescent="0.3">
      <c r="A870" s="34" t="s">
        <v>1029</v>
      </c>
      <c r="B870" s="23" t="s">
        <v>1676</v>
      </c>
      <c r="C870" s="13" t="s">
        <v>2368</v>
      </c>
      <c r="D870" s="18">
        <v>20</v>
      </c>
      <c r="E870" s="15">
        <v>518</v>
      </c>
      <c r="F870" s="23" t="s">
        <v>1676</v>
      </c>
      <c r="G870" s="18" t="s">
        <v>907</v>
      </c>
      <c r="H870" s="18">
        <v>74122000</v>
      </c>
      <c r="I870" s="17">
        <v>0.18</v>
      </c>
      <c r="J870" s="18" t="s">
        <v>2655</v>
      </c>
    </row>
    <row r="871" spans="1:10" ht="13" x14ac:dyDescent="0.3">
      <c r="A871" s="34" t="s">
        <v>1030</v>
      </c>
      <c r="B871" s="23" t="s">
        <v>1677</v>
      </c>
      <c r="C871" s="13" t="s">
        <v>2369</v>
      </c>
      <c r="D871" s="18">
        <v>20</v>
      </c>
      <c r="E871" s="15">
        <v>362</v>
      </c>
      <c r="F871" s="23" t="s">
        <v>1677</v>
      </c>
      <c r="G871" s="18" t="s">
        <v>907</v>
      </c>
      <c r="H871" s="18">
        <v>74122000</v>
      </c>
      <c r="I871" s="17">
        <v>0.18</v>
      </c>
      <c r="J871" s="18" t="s">
        <v>2653</v>
      </c>
    </row>
    <row r="872" spans="1:10" ht="13" x14ac:dyDescent="0.3">
      <c r="A872" s="34" t="s">
        <v>1031</v>
      </c>
      <c r="B872" s="23" t="s">
        <v>1678</v>
      </c>
      <c r="C872" s="13" t="s">
        <v>2370</v>
      </c>
      <c r="D872" s="18">
        <v>20</v>
      </c>
      <c r="E872" s="15">
        <v>519</v>
      </c>
      <c r="F872" s="23" t="s">
        <v>1678</v>
      </c>
      <c r="G872" s="18" t="s">
        <v>907</v>
      </c>
      <c r="H872" s="18">
        <v>74122000</v>
      </c>
      <c r="I872" s="17">
        <v>0.18</v>
      </c>
      <c r="J872" s="18" t="s">
        <v>2655</v>
      </c>
    </row>
    <row r="873" spans="1:10" ht="13" x14ac:dyDescent="0.3">
      <c r="A873" s="34" t="s">
        <v>1049</v>
      </c>
      <c r="B873" s="23" t="s">
        <v>1679</v>
      </c>
      <c r="C873" s="13" t="s">
        <v>721</v>
      </c>
      <c r="D873" s="18">
        <v>10</v>
      </c>
      <c r="E873" s="15">
        <v>391</v>
      </c>
      <c r="F873" s="23" t="s">
        <v>1679</v>
      </c>
      <c r="G873" s="18" t="s">
        <v>907</v>
      </c>
      <c r="H873" s="18">
        <v>74122000</v>
      </c>
      <c r="I873" s="17">
        <v>0.18</v>
      </c>
      <c r="J873" s="18" t="s">
        <v>2655</v>
      </c>
    </row>
    <row r="874" spans="1:10" ht="13" x14ac:dyDescent="0.3">
      <c r="A874" s="34" t="s">
        <v>1050</v>
      </c>
      <c r="B874" s="23" t="s">
        <v>1680</v>
      </c>
      <c r="C874" s="13" t="s">
        <v>724</v>
      </c>
      <c r="D874" s="18">
        <v>10</v>
      </c>
      <c r="E874" s="15">
        <v>550</v>
      </c>
      <c r="F874" s="23" t="s">
        <v>1680</v>
      </c>
      <c r="G874" s="18" t="s">
        <v>907</v>
      </c>
      <c r="H874" s="18">
        <v>74122000</v>
      </c>
      <c r="I874" s="17">
        <v>0.18</v>
      </c>
      <c r="J874" s="18" t="s">
        <v>2655</v>
      </c>
    </row>
    <row r="875" spans="1:10" ht="13" x14ac:dyDescent="0.3">
      <c r="A875" s="34" t="s">
        <v>1051</v>
      </c>
      <c r="B875" s="23" t="s">
        <v>1681</v>
      </c>
      <c r="C875" s="13" t="s">
        <v>726</v>
      </c>
      <c r="D875" s="18">
        <v>10</v>
      </c>
      <c r="E875" s="15">
        <v>908</v>
      </c>
      <c r="F875" s="23" t="s">
        <v>1681</v>
      </c>
      <c r="G875" s="18" t="s">
        <v>907</v>
      </c>
      <c r="H875" s="18">
        <v>74122000</v>
      </c>
      <c r="I875" s="17">
        <v>0.18</v>
      </c>
      <c r="J875" s="18" t="s">
        <v>2655</v>
      </c>
    </row>
    <row r="876" spans="1:10" ht="13" x14ac:dyDescent="0.3">
      <c r="A876" s="34" t="s">
        <v>1055</v>
      </c>
      <c r="B876" s="23" t="s">
        <v>1682</v>
      </c>
      <c r="C876" s="13">
        <v>20</v>
      </c>
      <c r="D876" s="18">
        <v>5</v>
      </c>
      <c r="E876" s="15">
        <v>1156</v>
      </c>
      <c r="F876" s="23" t="s">
        <v>1682</v>
      </c>
      <c r="G876" s="18" t="s">
        <v>907</v>
      </c>
      <c r="H876" s="18">
        <v>74122000</v>
      </c>
      <c r="I876" s="17">
        <v>0.18</v>
      </c>
      <c r="J876" s="18" t="s">
        <v>2655</v>
      </c>
    </row>
    <row r="877" spans="1:10" ht="13" x14ac:dyDescent="0.3">
      <c r="A877" s="34" t="s">
        <v>1056</v>
      </c>
      <c r="B877" s="23" t="s">
        <v>1683</v>
      </c>
      <c r="C877" s="13">
        <v>25</v>
      </c>
      <c r="D877" s="18">
        <v>5</v>
      </c>
      <c r="E877" s="15">
        <v>1436</v>
      </c>
      <c r="F877" s="23" t="s">
        <v>1683</v>
      </c>
      <c r="G877" s="18" t="s">
        <v>907</v>
      </c>
      <c r="H877" s="18">
        <v>74122000</v>
      </c>
      <c r="I877" s="17">
        <v>0.18</v>
      </c>
      <c r="J877" s="18" t="s">
        <v>2655</v>
      </c>
    </row>
    <row r="878" spans="1:10" ht="13" x14ac:dyDescent="0.3">
      <c r="A878" s="34" t="s">
        <v>1057</v>
      </c>
      <c r="B878" s="23" t="s">
        <v>1684</v>
      </c>
      <c r="C878" s="13">
        <v>32</v>
      </c>
      <c r="D878" s="18">
        <v>3</v>
      </c>
      <c r="E878" s="15">
        <v>2148</v>
      </c>
      <c r="F878" s="23" t="s">
        <v>1684</v>
      </c>
      <c r="G878" s="18" t="s">
        <v>907</v>
      </c>
      <c r="H878" s="18">
        <v>74122000</v>
      </c>
      <c r="I878" s="17">
        <v>0.18</v>
      </c>
      <c r="J878" s="18" t="s">
        <v>2655</v>
      </c>
    </row>
    <row r="879" spans="1:10" ht="13" x14ac:dyDescent="0.3">
      <c r="A879" s="34" t="s">
        <v>1052</v>
      </c>
      <c r="B879" s="23" t="s">
        <v>1685</v>
      </c>
      <c r="C879" s="13">
        <v>20</v>
      </c>
      <c r="D879" s="18">
        <v>5</v>
      </c>
      <c r="E879" s="15">
        <v>1986</v>
      </c>
      <c r="F879" s="23" t="s">
        <v>1685</v>
      </c>
      <c r="G879" s="18" t="s">
        <v>907</v>
      </c>
      <c r="H879" s="18">
        <v>74122000</v>
      </c>
      <c r="I879" s="17">
        <v>0.18</v>
      </c>
      <c r="J879" s="18" t="s">
        <v>2655</v>
      </c>
    </row>
    <row r="880" spans="1:10" ht="13" x14ac:dyDescent="0.3">
      <c r="A880" s="34" t="s">
        <v>1053</v>
      </c>
      <c r="B880" s="23" t="s">
        <v>1686</v>
      </c>
      <c r="C880" s="13">
        <v>25</v>
      </c>
      <c r="D880" s="18">
        <v>5</v>
      </c>
      <c r="E880" s="15">
        <v>2225</v>
      </c>
      <c r="F880" s="23" t="s">
        <v>1686</v>
      </c>
      <c r="G880" s="18" t="s">
        <v>907</v>
      </c>
      <c r="H880" s="18">
        <v>74122000</v>
      </c>
      <c r="I880" s="17">
        <v>0.18</v>
      </c>
      <c r="J880" s="18" t="s">
        <v>2655</v>
      </c>
    </row>
    <row r="881" spans="1:10" ht="13" x14ac:dyDescent="0.3">
      <c r="A881" s="34" t="s">
        <v>1054</v>
      </c>
      <c r="B881" s="23" t="s">
        <v>1687</v>
      </c>
      <c r="C881" s="13">
        <v>32</v>
      </c>
      <c r="D881" s="18">
        <v>3</v>
      </c>
      <c r="E881" s="15">
        <v>3538</v>
      </c>
      <c r="F881" s="23" t="s">
        <v>1687</v>
      </c>
      <c r="G881" s="18" t="s">
        <v>907</v>
      </c>
      <c r="H881" s="18">
        <v>74122000</v>
      </c>
      <c r="I881" s="17">
        <v>0.18</v>
      </c>
      <c r="J881" s="18" t="s">
        <v>2655</v>
      </c>
    </row>
    <row r="882" spans="1:10" ht="13" x14ac:dyDescent="0.3">
      <c r="A882" s="34" t="s">
        <v>1058</v>
      </c>
      <c r="B882" s="23" t="s">
        <v>1688</v>
      </c>
      <c r="C882" s="13">
        <v>20</v>
      </c>
      <c r="D882" s="18">
        <v>5</v>
      </c>
      <c r="E882" s="15">
        <v>1563</v>
      </c>
      <c r="F882" s="23" t="s">
        <v>1688</v>
      </c>
      <c r="G882" s="18" t="s">
        <v>907</v>
      </c>
      <c r="H882" s="18">
        <v>74122000</v>
      </c>
      <c r="I882" s="17">
        <v>0.18</v>
      </c>
      <c r="J882" s="18" t="s">
        <v>2655</v>
      </c>
    </row>
    <row r="883" spans="1:10" ht="13" x14ac:dyDescent="0.3">
      <c r="A883" s="34" t="s">
        <v>1059</v>
      </c>
      <c r="B883" s="23" t="s">
        <v>1689</v>
      </c>
      <c r="C883" s="13">
        <v>25</v>
      </c>
      <c r="D883" s="18">
        <v>5</v>
      </c>
      <c r="E883" s="15">
        <v>2057</v>
      </c>
      <c r="F883" s="23" t="s">
        <v>1689</v>
      </c>
      <c r="G883" s="18" t="s">
        <v>907</v>
      </c>
      <c r="H883" s="18">
        <v>74122000</v>
      </c>
      <c r="I883" s="17">
        <v>0.18</v>
      </c>
      <c r="J883" s="18" t="s">
        <v>2655</v>
      </c>
    </row>
    <row r="884" spans="1:10" ht="13" x14ac:dyDescent="0.3">
      <c r="A884" s="34" t="s">
        <v>1060</v>
      </c>
      <c r="B884" s="23" t="s">
        <v>1690</v>
      </c>
      <c r="C884" s="13">
        <v>32</v>
      </c>
      <c r="D884" s="18">
        <v>3</v>
      </c>
      <c r="E884" s="15">
        <v>3034</v>
      </c>
      <c r="F884" s="23" t="s">
        <v>1690</v>
      </c>
      <c r="G884" s="18" t="s">
        <v>907</v>
      </c>
      <c r="H884" s="18">
        <v>74122000</v>
      </c>
      <c r="I884" s="17">
        <v>0.18</v>
      </c>
      <c r="J884" s="18" t="s">
        <v>2655</v>
      </c>
    </row>
    <row r="885" spans="1:10" ht="13" x14ac:dyDescent="0.3">
      <c r="A885" s="34" t="s">
        <v>1061</v>
      </c>
      <c r="B885" s="23" t="s">
        <v>1711</v>
      </c>
      <c r="C885" s="13">
        <v>20</v>
      </c>
      <c r="D885" s="18">
        <v>5</v>
      </c>
      <c r="E885" s="15">
        <v>3389</v>
      </c>
      <c r="F885" s="23" t="s">
        <v>1711</v>
      </c>
      <c r="G885" s="18" t="s">
        <v>907</v>
      </c>
      <c r="H885" s="18">
        <v>74122000</v>
      </c>
      <c r="I885" s="17">
        <v>0.18</v>
      </c>
      <c r="J885" s="18" t="s">
        <v>2655</v>
      </c>
    </row>
    <row r="886" spans="1:10" ht="13" x14ac:dyDescent="0.3">
      <c r="A886" s="34" t="s">
        <v>1062</v>
      </c>
      <c r="B886" s="23" t="s">
        <v>1712</v>
      </c>
      <c r="C886" s="13">
        <v>25</v>
      </c>
      <c r="D886" s="18">
        <v>5</v>
      </c>
      <c r="E886" s="15">
        <v>5073</v>
      </c>
      <c r="F886" s="23" t="s">
        <v>1712</v>
      </c>
      <c r="G886" s="18" t="s">
        <v>907</v>
      </c>
      <c r="H886" s="18">
        <v>74122000</v>
      </c>
      <c r="I886" s="17">
        <v>0.18</v>
      </c>
      <c r="J886" s="18" t="s">
        <v>2655</v>
      </c>
    </row>
    <row r="887" spans="1:10" ht="13" x14ac:dyDescent="0.3">
      <c r="A887" s="34" t="s">
        <v>1063</v>
      </c>
      <c r="B887" s="23" t="s">
        <v>1713</v>
      </c>
      <c r="C887" s="13">
        <v>32</v>
      </c>
      <c r="D887" s="18">
        <v>5</v>
      </c>
      <c r="E887" s="15">
        <v>7304</v>
      </c>
      <c r="F887" s="23" t="s">
        <v>1713</v>
      </c>
      <c r="G887" s="18" t="s">
        <v>907</v>
      </c>
      <c r="H887" s="18">
        <v>74122000</v>
      </c>
      <c r="I887" s="17">
        <v>0.18</v>
      </c>
      <c r="J887" s="18" t="s">
        <v>2655</v>
      </c>
    </row>
    <row r="888" spans="1:10" ht="13" x14ac:dyDescent="0.3">
      <c r="A888" s="34" t="s">
        <v>1064</v>
      </c>
      <c r="B888" s="23" t="s">
        <v>1714</v>
      </c>
      <c r="C888" s="13">
        <v>40</v>
      </c>
      <c r="D888" s="18">
        <v>2</v>
      </c>
      <c r="E888" s="15">
        <v>11414</v>
      </c>
      <c r="F888" s="23" t="s">
        <v>1714</v>
      </c>
      <c r="G888" s="18" t="s">
        <v>907</v>
      </c>
      <c r="H888" s="18">
        <v>74122000</v>
      </c>
      <c r="I888" s="17">
        <v>0.18</v>
      </c>
      <c r="J888" s="18" t="s">
        <v>2655</v>
      </c>
    </row>
    <row r="889" spans="1:10" ht="13" x14ac:dyDescent="0.3">
      <c r="A889" s="34" t="s">
        <v>1065</v>
      </c>
      <c r="B889" s="23" t="s">
        <v>1715</v>
      </c>
      <c r="C889" s="13">
        <v>50</v>
      </c>
      <c r="D889" s="18">
        <v>2</v>
      </c>
      <c r="E889" s="15">
        <v>17712</v>
      </c>
      <c r="F889" s="23" t="s">
        <v>1715</v>
      </c>
      <c r="G889" s="18" t="s">
        <v>907</v>
      </c>
      <c r="H889" s="18">
        <v>74122000</v>
      </c>
      <c r="I889" s="17">
        <v>0.18</v>
      </c>
      <c r="J889" s="18" t="s">
        <v>2655</v>
      </c>
    </row>
    <row r="890" spans="1:10" ht="13" x14ac:dyDescent="0.3">
      <c r="A890" s="34" t="s">
        <v>1691</v>
      </c>
      <c r="B890" s="23" t="s">
        <v>1692</v>
      </c>
      <c r="C890" s="13">
        <v>20</v>
      </c>
      <c r="D890" s="18">
        <v>5</v>
      </c>
      <c r="E890" s="15">
        <v>1847</v>
      </c>
      <c r="F890" s="23" t="s">
        <v>1692</v>
      </c>
      <c r="G890" s="18" t="s">
        <v>907</v>
      </c>
      <c r="H890" s="18">
        <v>74122000</v>
      </c>
      <c r="I890" s="17">
        <v>0.18</v>
      </c>
      <c r="J890" s="18" t="s">
        <v>2655</v>
      </c>
    </row>
    <row r="891" spans="1:10" ht="13" x14ac:dyDescent="0.3">
      <c r="A891" s="34" t="s">
        <v>1693</v>
      </c>
      <c r="B891" s="23" t="s">
        <v>1694</v>
      </c>
      <c r="C891" s="13">
        <v>25</v>
      </c>
      <c r="D891" s="18">
        <v>5</v>
      </c>
      <c r="E891" s="15">
        <v>2455</v>
      </c>
      <c r="F891" s="23" t="s">
        <v>1694</v>
      </c>
      <c r="G891" s="18" t="s">
        <v>907</v>
      </c>
      <c r="H891" s="18">
        <v>74122000</v>
      </c>
      <c r="I891" s="17">
        <v>0.18</v>
      </c>
      <c r="J891" s="18" t="s">
        <v>2655</v>
      </c>
    </row>
    <row r="892" spans="1:10" ht="13" x14ac:dyDescent="0.3">
      <c r="A892" s="34" t="s">
        <v>1695</v>
      </c>
      <c r="B892" s="23" t="s">
        <v>1696</v>
      </c>
      <c r="C892" s="13">
        <v>32</v>
      </c>
      <c r="D892" s="18">
        <v>5</v>
      </c>
      <c r="E892" s="15">
        <v>3050</v>
      </c>
      <c r="F892" s="23" t="s">
        <v>1696</v>
      </c>
      <c r="G892" s="18" t="s">
        <v>907</v>
      </c>
      <c r="H892" s="18">
        <v>74122000</v>
      </c>
      <c r="I892" s="17">
        <v>0.18</v>
      </c>
      <c r="J892" s="18" t="s">
        <v>2655</v>
      </c>
    </row>
    <row r="893" spans="1:10" ht="13" x14ac:dyDescent="0.3">
      <c r="A893" s="34" t="s">
        <v>1697</v>
      </c>
      <c r="B893" s="23" t="s">
        <v>1698</v>
      </c>
      <c r="C893" s="13">
        <v>40</v>
      </c>
      <c r="D893" s="18">
        <v>4</v>
      </c>
      <c r="E893" s="15">
        <v>5018</v>
      </c>
      <c r="F893" s="23" t="s">
        <v>1698</v>
      </c>
      <c r="G893" s="18" t="s">
        <v>907</v>
      </c>
      <c r="H893" s="18">
        <v>74122000</v>
      </c>
      <c r="I893" s="17">
        <v>0.18</v>
      </c>
      <c r="J893" s="18" t="s">
        <v>2655</v>
      </c>
    </row>
    <row r="894" spans="1:10" ht="13" x14ac:dyDescent="0.3">
      <c r="A894" s="34" t="s">
        <v>1699</v>
      </c>
      <c r="B894" s="23" t="s">
        <v>1700</v>
      </c>
      <c r="C894" s="13">
        <v>50</v>
      </c>
      <c r="D894" s="18">
        <v>2</v>
      </c>
      <c r="E894" s="15">
        <v>8549</v>
      </c>
      <c r="F894" s="23" t="s">
        <v>1700</v>
      </c>
      <c r="G894" s="18" t="s">
        <v>907</v>
      </c>
      <c r="H894" s="18">
        <v>74122000</v>
      </c>
      <c r="I894" s="17">
        <v>0.18</v>
      </c>
      <c r="J894" s="18" t="s">
        <v>2655</v>
      </c>
    </row>
    <row r="895" spans="1:10" ht="13" x14ac:dyDescent="0.3">
      <c r="A895" s="34" t="s">
        <v>1701</v>
      </c>
      <c r="B895" s="23" t="s">
        <v>1702</v>
      </c>
      <c r="C895" s="13">
        <v>63</v>
      </c>
      <c r="D895" s="18">
        <v>1</v>
      </c>
      <c r="E895" s="15">
        <v>12357</v>
      </c>
      <c r="F895" s="23" t="s">
        <v>1702</v>
      </c>
      <c r="G895" s="18" t="s">
        <v>907</v>
      </c>
      <c r="H895" s="18">
        <v>74122000</v>
      </c>
      <c r="I895" s="17">
        <v>0.18</v>
      </c>
      <c r="J895" s="18" t="s">
        <v>2655</v>
      </c>
    </row>
    <row r="896" spans="1:10" ht="13" x14ac:dyDescent="0.3">
      <c r="A896" s="34" t="s">
        <v>1703</v>
      </c>
      <c r="B896" s="23" t="s">
        <v>1704</v>
      </c>
      <c r="C896" s="13">
        <v>75</v>
      </c>
      <c r="D896" s="18">
        <v>1</v>
      </c>
      <c r="E896" s="15">
        <v>26335</v>
      </c>
      <c r="F896" s="23" t="s">
        <v>1704</v>
      </c>
      <c r="G896" s="18" t="s">
        <v>907</v>
      </c>
      <c r="H896" s="18">
        <v>74122000</v>
      </c>
      <c r="I896" s="17">
        <v>0.18</v>
      </c>
      <c r="J896" s="18" t="s">
        <v>2655</v>
      </c>
    </row>
    <row r="897" spans="1:10" ht="13" x14ac:dyDescent="0.3">
      <c r="A897" s="34" t="s">
        <v>1705</v>
      </c>
      <c r="B897" s="23" t="s">
        <v>1706</v>
      </c>
      <c r="C897" s="13">
        <v>90</v>
      </c>
      <c r="D897" s="18">
        <v>1</v>
      </c>
      <c r="E897" s="15">
        <v>42701</v>
      </c>
      <c r="F897" s="23" t="s">
        <v>1706</v>
      </c>
      <c r="G897" s="18" t="s">
        <v>907</v>
      </c>
      <c r="H897" s="18">
        <v>74122000</v>
      </c>
      <c r="I897" s="17">
        <v>0.18</v>
      </c>
      <c r="J897" s="18" t="s">
        <v>2655</v>
      </c>
    </row>
    <row r="898" spans="1:10" ht="13" x14ac:dyDescent="0.3">
      <c r="A898" s="34" t="s">
        <v>1707</v>
      </c>
      <c r="B898" s="23" t="s">
        <v>1708</v>
      </c>
      <c r="C898" s="13">
        <v>110</v>
      </c>
      <c r="D898" s="18">
        <v>1</v>
      </c>
      <c r="E898" s="15">
        <v>77520</v>
      </c>
      <c r="F898" s="23" t="s">
        <v>1708</v>
      </c>
      <c r="G898" s="18" t="s">
        <v>907</v>
      </c>
      <c r="H898" s="18">
        <v>74122000</v>
      </c>
      <c r="I898" s="17">
        <v>0.18</v>
      </c>
      <c r="J898" s="18" t="s">
        <v>2655</v>
      </c>
    </row>
    <row r="899" spans="1:10" ht="13" x14ac:dyDescent="0.3">
      <c r="A899" s="34" t="s">
        <v>1709</v>
      </c>
      <c r="B899" s="23" t="s">
        <v>1710</v>
      </c>
      <c r="C899" s="13">
        <v>125</v>
      </c>
      <c r="D899" s="18">
        <v>1</v>
      </c>
      <c r="E899" s="15">
        <v>108400</v>
      </c>
      <c r="F899" s="23" t="s">
        <v>1710</v>
      </c>
      <c r="G899" s="18" t="s">
        <v>907</v>
      </c>
      <c r="H899" s="18">
        <v>74122000</v>
      </c>
      <c r="I899" s="17">
        <v>0.18</v>
      </c>
      <c r="J899" s="18" t="s">
        <v>2655</v>
      </c>
    </row>
    <row r="900" spans="1:10" ht="13" x14ac:dyDescent="0.3">
      <c r="A900" s="34" t="s">
        <v>1075</v>
      </c>
      <c r="B900" s="23" t="s">
        <v>1716</v>
      </c>
      <c r="C900" s="13">
        <v>25</v>
      </c>
      <c r="D900" s="18">
        <v>10</v>
      </c>
      <c r="E900" s="15">
        <v>770</v>
      </c>
      <c r="F900" s="23" t="s">
        <v>1716</v>
      </c>
      <c r="G900" s="18" t="s">
        <v>907</v>
      </c>
      <c r="H900" s="18">
        <v>74122000</v>
      </c>
      <c r="I900" s="17">
        <v>0.18</v>
      </c>
      <c r="J900" s="18" t="s">
        <v>2655</v>
      </c>
    </row>
    <row r="901" spans="1:10" ht="13" x14ac:dyDescent="0.3">
      <c r="A901" s="34" t="s">
        <v>1076</v>
      </c>
      <c r="B901" s="23" t="s">
        <v>1717</v>
      </c>
      <c r="C901" s="13">
        <v>25</v>
      </c>
      <c r="D901" s="18">
        <v>10</v>
      </c>
      <c r="E901" s="15">
        <v>1069</v>
      </c>
      <c r="F901" s="23" t="s">
        <v>1717</v>
      </c>
      <c r="G901" s="18" t="s">
        <v>907</v>
      </c>
      <c r="H901" s="18">
        <v>74122000</v>
      </c>
      <c r="I901" s="17">
        <v>0.18</v>
      </c>
      <c r="J901" s="18" t="s">
        <v>2655</v>
      </c>
    </row>
    <row r="902" spans="1:10" ht="13" x14ac:dyDescent="0.3">
      <c r="A902" s="34" t="s">
        <v>1066</v>
      </c>
      <c r="B902" s="23" t="s">
        <v>1718</v>
      </c>
      <c r="C902" s="48" t="s">
        <v>2379</v>
      </c>
      <c r="D902" s="18">
        <v>10</v>
      </c>
      <c r="E902" s="15">
        <v>1112</v>
      </c>
      <c r="F902" s="23" t="s">
        <v>1718</v>
      </c>
      <c r="G902" s="18" t="s">
        <v>907</v>
      </c>
      <c r="H902" s="18">
        <v>74122000</v>
      </c>
      <c r="I902" s="17">
        <v>0.18</v>
      </c>
      <c r="J902" s="18" t="s">
        <v>2655</v>
      </c>
    </row>
    <row r="903" spans="1:10" ht="13" x14ac:dyDescent="0.3">
      <c r="A903" s="34" t="s">
        <v>1067</v>
      </c>
      <c r="B903" s="23" t="s">
        <v>1719</v>
      </c>
      <c r="C903" s="13" t="s">
        <v>2380</v>
      </c>
      <c r="D903" s="18">
        <v>10</v>
      </c>
      <c r="E903" s="15">
        <v>1454</v>
      </c>
      <c r="F903" s="23" t="s">
        <v>1719</v>
      </c>
      <c r="G903" s="18" t="s">
        <v>907</v>
      </c>
      <c r="H903" s="18">
        <v>74122000</v>
      </c>
      <c r="I903" s="17">
        <v>0.18</v>
      </c>
      <c r="J903" s="18" t="s">
        <v>2655</v>
      </c>
    </row>
    <row r="904" spans="1:10" ht="13" x14ac:dyDescent="0.3">
      <c r="A904" s="34" t="s">
        <v>1068</v>
      </c>
      <c r="B904" s="23" t="s">
        <v>1720</v>
      </c>
      <c r="C904" s="13" t="s">
        <v>2381</v>
      </c>
      <c r="D904" s="18">
        <v>10</v>
      </c>
      <c r="E904" s="15">
        <v>2053</v>
      </c>
      <c r="F904" s="23" t="s">
        <v>1720</v>
      </c>
      <c r="G904" s="18" t="s">
        <v>907</v>
      </c>
      <c r="H904" s="18">
        <v>74122000</v>
      </c>
      <c r="I904" s="17">
        <v>0.18</v>
      </c>
      <c r="J904" s="18" t="s">
        <v>2655</v>
      </c>
    </row>
    <row r="905" spans="1:10" ht="13" x14ac:dyDescent="0.3">
      <c r="A905" s="34" t="s">
        <v>1072</v>
      </c>
      <c r="B905" s="23" t="s">
        <v>1721</v>
      </c>
      <c r="C905" s="48" t="s">
        <v>2379</v>
      </c>
      <c r="D905" s="18">
        <v>10</v>
      </c>
      <c r="E905" s="15">
        <v>1539</v>
      </c>
      <c r="F905" s="23" t="s">
        <v>1721</v>
      </c>
      <c r="G905" s="18" t="s">
        <v>907</v>
      </c>
      <c r="H905" s="18">
        <v>74122000</v>
      </c>
      <c r="I905" s="17">
        <v>0.18</v>
      </c>
      <c r="J905" s="18" t="s">
        <v>2655</v>
      </c>
    </row>
    <row r="906" spans="1:10" ht="13" x14ac:dyDescent="0.3">
      <c r="A906" s="34" t="s">
        <v>1073</v>
      </c>
      <c r="B906" s="23" t="s">
        <v>1722</v>
      </c>
      <c r="C906" s="13" t="s">
        <v>2380</v>
      </c>
      <c r="D906" s="18">
        <v>10</v>
      </c>
      <c r="E906" s="15">
        <v>1616</v>
      </c>
      <c r="F906" s="23" t="s">
        <v>1722</v>
      </c>
      <c r="G906" s="18" t="s">
        <v>907</v>
      </c>
      <c r="H906" s="18">
        <v>74122000</v>
      </c>
      <c r="I906" s="17">
        <v>0.18</v>
      </c>
      <c r="J906" s="18" t="s">
        <v>2655</v>
      </c>
    </row>
    <row r="907" spans="1:10" ht="13" x14ac:dyDescent="0.3">
      <c r="A907" s="34" t="s">
        <v>1074</v>
      </c>
      <c r="B907" s="23" t="s">
        <v>1723</v>
      </c>
      <c r="C907" s="13" t="s">
        <v>2381</v>
      </c>
      <c r="D907" s="18">
        <v>10</v>
      </c>
      <c r="E907" s="15">
        <v>2538</v>
      </c>
      <c r="F907" s="23" t="s">
        <v>1723</v>
      </c>
      <c r="G907" s="18" t="s">
        <v>907</v>
      </c>
      <c r="H907" s="18">
        <v>74122000</v>
      </c>
      <c r="I907" s="17">
        <v>0.18</v>
      </c>
      <c r="J907" s="18" t="s">
        <v>2655</v>
      </c>
    </row>
    <row r="908" spans="1:10" ht="13" x14ac:dyDescent="0.3">
      <c r="A908" s="34" t="s">
        <v>1069</v>
      </c>
      <c r="B908" s="23" t="s">
        <v>1724</v>
      </c>
      <c r="C908" s="48" t="s">
        <v>2379</v>
      </c>
      <c r="D908" s="18">
        <v>10</v>
      </c>
      <c r="E908" s="15">
        <v>738</v>
      </c>
      <c r="F908" s="23" t="s">
        <v>1724</v>
      </c>
      <c r="G908" s="18" t="s">
        <v>907</v>
      </c>
      <c r="H908" s="18">
        <v>74122000</v>
      </c>
      <c r="I908" s="17">
        <v>0.18</v>
      </c>
      <c r="J908" s="18" t="s">
        <v>2655</v>
      </c>
    </row>
    <row r="909" spans="1:10" ht="13" x14ac:dyDescent="0.3">
      <c r="A909" s="34" t="s">
        <v>1070</v>
      </c>
      <c r="B909" s="23" t="s">
        <v>1725</v>
      </c>
      <c r="C909" s="13" t="s">
        <v>2380</v>
      </c>
      <c r="D909" s="18">
        <v>10</v>
      </c>
      <c r="E909" s="15">
        <v>855</v>
      </c>
      <c r="F909" s="23" t="s">
        <v>1725</v>
      </c>
      <c r="G909" s="18" t="s">
        <v>907</v>
      </c>
      <c r="H909" s="18">
        <v>74122000</v>
      </c>
      <c r="I909" s="17">
        <v>0.18</v>
      </c>
      <c r="J909" s="18" t="s">
        <v>2655</v>
      </c>
    </row>
    <row r="910" spans="1:10" ht="13" x14ac:dyDescent="0.3">
      <c r="A910" s="34" t="s">
        <v>1071</v>
      </c>
      <c r="B910" s="23" t="s">
        <v>1726</v>
      </c>
      <c r="C910" s="13" t="s">
        <v>2381</v>
      </c>
      <c r="D910" s="18">
        <v>10</v>
      </c>
      <c r="E910" s="15">
        <v>1198</v>
      </c>
      <c r="F910" s="23" t="s">
        <v>1726</v>
      </c>
      <c r="G910" s="18" t="s">
        <v>907</v>
      </c>
      <c r="H910" s="18">
        <v>74122000</v>
      </c>
      <c r="I910" s="17">
        <v>0.18</v>
      </c>
      <c r="J910" s="18" t="s">
        <v>2655</v>
      </c>
    </row>
    <row r="911" spans="1:10" ht="13" x14ac:dyDescent="0.3">
      <c r="A911" s="34" t="s">
        <v>1036</v>
      </c>
      <c r="B911" s="23" t="s">
        <v>1727</v>
      </c>
      <c r="C911" s="13">
        <v>40</v>
      </c>
      <c r="D911" s="18">
        <v>25</v>
      </c>
      <c r="E911" s="15">
        <v>73</v>
      </c>
      <c r="F911" s="23" t="s">
        <v>1727</v>
      </c>
      <c r="G911" s="18" t="s">
        <v>907</v>
      </c>
      <c r="H911" s="18">
        <v>74122000</v>
      </c>
      <c r="I911" s="17">
        <v>0.18</v>
      </c>
      <c r="J911" s="18" t="s">
        <v>2655</v>
      </c>
    </row>
    <row r="912" spans="1:10" ht="13" x14ac:dyDescent="0.3">
      <c r="A912" s="34" t="s">
        <v>1037</v>
      </c>
      <c r="B912" s="23" t="s">
        <v>1728</v>
      </c>
      <c r="C912" s="13">
        <v>50</v>
      </c>
      <c r="D912" s="18">
        <v>15</v>
      </c>
      <c r="E912" s="15">
        <v>135</v>
      </c>
      <c r="F912" s="23" t="s">
        <v>1728</v>
      </c>
      <c r="G912" s="18" t="s">
        <v>907</v>
      </c>
      <c r="H912" s="18">
        <v>74122000</v>
      </c>
      <c r="I912" s="17">
        <v>0.18</v>
      </c>
      <c r="J912" s="18" t="s">
        <v>2655</v>
      </c>
    </row>
    <row r="913" spans="1:10" ht="13" x14ac:dyDescent="0.3">
      <c r="A913" s="34" t="s">
        <v>1038</v>
      </c>
      <c r="B913" s="23" t="s">
        <v>1729</v>
      </c>
      <c r="C913" s="13">
        <v>63</v>
      </c>
      <c r="D913" s="18">
        <v>10</v>
      </c>
      <c r="E913" s="15">
        <v>190</v>
      </c>
      <c r="F913" s="23" t="s">
        <v>1729</v>
      </c>
      <c r="G913" s="18" t="s">
        <v>907</v>
      </c>
      <c r="H913" s="18">
        <v>74122000</v>
      </c>
      <c r="I913" s="17">
        <v>0.18</v>
      </c>
      <c r="J913" s="18" t="s">
        <v>2655</v>
      </c>
    </row>
    <row r="914" spans="1:10" ht="13" x14ac:dyDescent="0.3">
      <c r="A914" s="34" t="s">
        <v>1039</v>
      </c>
      <c r="B914" s="23" t="s">
        <v>1730</v>
      </c>
      <c r="C914" s="13">
        <v>75</v>
      </c>
      <c r="D914" s="18">
        <v>4</v>
      </c>
      <c r="E914" s="15">
        <v>228</v>
      </c>
      <c r="F914" s="23" t="s">
        <v>1730</v>
      </c>
      <c r="G914" s="18" t="s">
        <v>907</v>
      </c>
      <c r="H914" s="18">
        <v>74122000</v>
      </c>
      <c r="I914" s="17">
        <v>0.18</v>
      </c>
      <c r="J914" s="18" t="s">
        <v>2655</v>
      </c>
    </row>
    <row r="915" spans="1:10" ht="13" x14ac:dyDescent="0.3">
      <c r="A915" s="34" t="s">
        <v>1040</v>
      </c>
      <c r="B915" s="23" t="s">
        <v>1731</v>
      </c>
      <c r="C915" s="13">
        <v>90</v>
      </c>
      <c r="D915" s="18">
        <v>4</v>
      </c>
      <c r="E915" s="15">
        <v>453</v>
      </c>
      <c r="F915" s="23" t="s">
        <v>1731</v>
      </c>
      <c r="G915" s="18" t="s">
        <v>907</v>
      </c>
      <c r="H915" s="18">
        <v>74122000</v>
      </c>
      <c r="I915" s="17">
        <v>0.18</v>
      </c>
      <c r="J915" s="18" t="s">
        <v>2655</v>
      </c>
    </row>
    <row r="916" spans="1:10" ht="13" x14ac:dyDescent="0.3">
      <c r="A916" s="34" t="s">
        <v>1041</v>
      </c>
      <c r="B916" s="23" t="s">
        <v>1732</v>
      </c>
      <c r="C916" s="13">
        <v>110</v>
      </c>
      <c r="D916" s="18">
        <v>2</v>
      </c>
      <c r="E916" s="15">
        <v>621</v>
      </c>
      <c r="F916" s="23" t="s">
        <v>1732</v>
      </c>
      <c r="G916" s="18" t="s">
        <v>907</v>
      </c>
      <c r="H916" s="18">
        <v>74122000</v>
      </c>
      <c r="I916" s="17">
        <v>0.18</v>
      </c>
      <c r="J916" s="18" t="s">
        <v>2655</v>
      </c>
    </row>
    <row r="917" spans="1:10" ht="13" x14ac:dyDescent="0.3">
      <c r="A917" s="34" t="s">
        <v>1042</v>
      </c>
      <c r="B917" s="23" t="s">
        <v>1733</v>
      </c>
      <c r="C917" s="13">
        <v>125</v>
      </c>
      <c r="D917" s="18">
        <v>1</v>
      </c>
      <c r="E917" s="15">
        <v>1640</v>
      </c>
      <c r="F917" s="23" t="s">
        <v>1733</v>
      </c>
      <c r="G917" s="18" t="s">
        <v>907</v>
      </c>
      <c r="H917" s="18">
        <v>74122000</v>
      </c>
      <c r="I917" s="17">
        <v>0.18</v>
      </c>
      <c r="J917" s="18" t="s">
        <v>2655</v>
      </c>
    </row>
    <row r="918" spans="1:10" ht="13" x14ac:dyDescent="0.3">
      <c r="A918" s="34" t="s">
        <v>1043</v>
      </c>
      <c r="B918" s="23" t="s">
        <v>1734</v>
      </c>
      <c r="C918" s="13">
        <v>160</v>
      </c>
      <c r="D918" s="18">
        <v>1</v>
      </c>
      <c r="E918" s="15">
        <v>2156</v>
      </c>
      <c r="F918" s="23" t="s">
        <v>1734</v>
      </c>
      <c r="G918" s="18" t="s">
        <v>907</v>
      </c>
      <c r="H918" s="18">
        <v>74122000</v>
      </c>
      <c r="I918" s="17">
        <v>0.18</v>
      </c>
      <c r="J918" s="18" t="s">
        <v>2655</v>
      </c>
    </row>
    <row r="919" spans="1:10" ht="13" x14ac:dyDescent="0.3">
      <c r="A919" s="34" t="s">
        <v>1044</v>
      </c>
      <c r="B919" s="23" t="s">
        <v>1735</v>
      </c>
      <c r="C919" s="13">
        <v>200</v>
      </c>
      <c r="D919" s="18">
        <v>1</v>
      </c>
      <c r="E919" s="15">
        <v>17337</v>
      </c>
      <c r="F919" s="23" t="s">
        <v>1735</v>
      </c>
      <c r="G919" s="18" t="s">
        <v>907</v>
      </c>
      <c r="H919" s="18">
        <v>74122000</v>
      </c>
      <c r="I919" s="17">
        <v>0.18</v>
      </c>
      <c r="J919" s="18" t="s">
        <v>2655</v>
      </c>
    </row>
    <row r="920" spans="1:10" ht="13" x14ac:dyDescent="0.3">
      <c r="A920" s="34" t="s">
        <v>1045</v>
      </c>
      <c r="B920" s="23" t="s">
        <v>1736</v>
      </c>
      <c r="C920" s="13">
        <v>250</v>
      </c>
      <c r="D920" s="18">
        <v>1</v>
      </c>
      <c r="E920" s="15">
        <v>32258</v>
      </c>
      <c r="F920" s="23" t="s">
        <v>1736</v>
      </c>
      <c r="G920" s="18" t="s">
        <v>907</v>
      </c>
      <c r="H920" s="18">
        <v>74122000</v>
      </c>
      <c r="I920" s="17">
        <v>0.18</v>
      </c>
      <c r="J920" s="18" t="s">
        <v>2655</v>
      </c>
    </row>
    <row r="921" spans="1:10" ht="13" x14ac:dyDescent="0.3">
      <c r="A921" s="34" t="s">
        <v>1046</v>
      </c>
      <c r="B921" s="23" t="s">
        <v>1737</v>
      </c>
      <c r="C921" s="13">
        <v>315</v>
      </c>
      <c r="D921" s="18">
        <v>1</v>
      </c>
      <c r="E921" s="15">
        <v>48494</v>
      </c>
      <c r="F921" s="23" t="s">
        <v>1737</v>
      </c>
      <c r="G921" s="18" t="s">
        <v>907</v>
      </c>
      <c r="H921" s="18">
        <v>74122000</v>
      </c>
      <c r="I921" s="17">
        <v>0.18</v>
      </c>
      <c r="J921" s="18" t="s">
        <v>2655</v>
      </c>
    </row>
    <row r="922" spans="1:10" ht="13" x14ac:dyDescent="0.3">
      <c r="A922" s="34" t="s">
        <v>1047</v>
      </c>
      <c r="B922" s="23" t="s">
        <v>1738</v>
      </c>
      <c r="C922" s="13">
        <v>355</v>
      </c>
      <c r="D922" s="18">
        <v>1</v>
      </c>
      <c r="E922" s="15">
        <v>60068</v>
      </c>
      <c r="F922" s="23" t="s">
        <v>1738</v>
      </c>
      <c r="G922" s="18" t="s">
        <v>907</v>
      </c>
      <c r="H922" s="18">
        <v>74122000</v>
      </c>
      <c r="I922" s="17">
        <v>0.18</v>
      </c>
      <c r="J922" s="18" t="s">
        <v>2655</v>
      </c>
    </row>
    <row r="923" spans="1:10" ht="13" x14ac:dyDescent="0.3">
      <c r="A923" s="34" t="s">
        <v>1048</v>
      </c>
      <c r="B923" s="23" t="s">
        <v>1739</v>
      </c>
      <c r="C923" s="13">
        <v>400</v>
      </c>
      <c r="D923" s="18">
        <v>1</v>
      </c>
      <c r="E923" s="15">
        <v>88254</v>
      </c>
      <c r="F923" s="23" t="s">
        <v>1739</v>
      </c>
      <c r="G923" s="18" t="s">
        <v>907</v>
      </c>
      <c r="H923" s="18">
        <v>74122000</v>
      </c>
      <c r="I923" s="17">
        <v>0.18</v>
      </c>
      <c r="J923" s="18" t="s">
        <v>2655</v>
      </c>
    </row>
    <row r="924" spans="1:10" ht="13" x14ac:dyDescent="0.3">
      <c r="A924" s="34" t="s">
        <v>1740</v>
      </c>
      <c r="B924" s="23" t="s">
        <v>1741</v>
      </c>
      <c r="C924" s="13">
        <v>160</v>
      </c>
      <c r="D924" s="18">
        <v>1</v>
      </c>
      <c r="E924" s="15">
        <v>1373</v>
      </c>
      <c r="F924" s="23" t="s">
        <v>1741</v>
      </c>
      <c r="G924" s="18" t="s">
        <v>907</v>
      </c>
      <c r="H924" s="18">
        <v>74122000</v>
      </c>
      <c r="I924" s="17">
        <v>0.18</v>
      </c>
      <c r="J924" s="18" t="s">
        <v>2655</v>
      </c>
    </row>
    <row r="925" spans="1:10" ht="13" x14ac:dyDescent="0.3">
      <c r="A925" s="34" t="s">
        <v>1742</v>
      </c>
      <c r="B925" s="23" t="s">
        <v>1743</v>
      </c>
      <c r="C925" s="13">
        <v>200</v>
      </c>
      <c r="D925" s="18">
        <v>1</v>
      </c>
      <c r="E925" s="15">
        <v>14364</v>
      </c>
      <c r="F925" s="23" t="s">
        <v>1743</v>
      </c>
      <c r="G925" s="18" t="s">
        <v>907</v>
      </c>
      <c r="H925" s="18">
        <v>74122000</v>
      </c>
      <c r="I925" s="17">
        <v>0.18</v>
      </c>
      <c r="J925" s="18" t="s">
        <v>2655</v>
      </c>
    </row>
    <row r="926" spans="1:10" ht="13" x14ac:dyDescent="0.3">
      <c r="A926" s="34" t="s">
        <v>1744</v>
      </c>
      <c r="B926" s="23" t="s">
        <v>1745</v>
      </c>
      <c r="C926" s="13">
        <v>250</v>
      </c>
      <c r="D926" s="18">
        <v>1</v>
      </c>
      <c r="E926" s="15">
        <v>26676</v>
      </c>
      <c r="F926" s="23" t="s">
        <v>1745</v>
      </c>
      <c r="G926" s="18" t="s">
        <v>907</v>
      </c>
      <c r="H926" s="18">
        <v>74122000</v>
      </c>
      <c r="I926" s="17">
        <v>0.18</v>
      </c>
      <c r="J926" s="18" t="s">
        <v>2655</v>
      </c>
    </row>
    <row r="927" spans="1:10" ht="13" x14ac:dyDescent="0.3">
      <c r="A927" s="34" t="s">
        <v>1746</v>
      </c>
      <c r="B927" s="23" t="s">
        <v>1747</v>
      </c>
      <c r="C927" s="13">
        <v>315</v>
      </c>
      <c r="D927" s="18">
        <v>1</v>
      </c>
      <c r="E927" s="15">
        <v>47135</v>
      </c>
      <c r="F927" s="23" t="s">
        <v>1747</v>
      </c>
      <c r="G927" s="18" t="s">
        <v>907</v>
      </c>
      <c r="H927" s="18">
        <v>74122000</v>
      </c>
      <c r="I927" s="17">
        <v>0.18</v>
      </c>
      <c r="J927" s="18" t="s">
        <v>2655</v>
      </c>
    </row>
    <row r="928" spans="1:10" ht="13" x14ac:dyDescent="0.3">
      <c r="A928" s="34" t="s">
        <v>1748</v>
      </c>
      <c r="B928" s="23" t="s">
        <v>1749</v>
      </c>
      <c r="C928" s="13">
        <v>355</v>
      </c>
      <c r="D928" s="18">
        <v>1</v>
      </c>
      <c r="E928" s="15">
        <v>58770</v>
      </c>
      <c r="F928" s="23" t="s">
        <v>1749</v>
      </c>
      <c r="G928" s="18" t="s">
        <v>907</v>
      </c>
      <c r="H928" s="18">
        <v>74122000</v>
      </c>
      <c r="I928" s="17">
        <v>0.18</v>
      </c>
      <c r="J928" s="18" t="s">
        <v>2655</v>
      </c>
    </row>
    <row r="929" spans="1:10" ht="13" x14ac:dyDescent="0.3">
      <c r="A929" s="34" t="s">
        <v>1077</v>
      </c>
      <c r="B929" s="23" t="s">
        <v>1750</v>
      </c>
      <c r="C929" s="13">
        <v>40</v>
      </c>
      <c r="D929" s="18">
        <v>1</v>
      </c>
      <c r="E929" s="15">
        <v>3622</v>
      </c>
      <c r="F929" s="23" t="s">
        <v>1750</v>
      </c>
      <c r="G929" s="18" t="s">
        <v>907</v>
      </c>
      <c r="H929" s="18">
        <v>74122000</v>
      </c>
      <c r="I929" s="17">
        <v>0.18</v>
      </c>
      <c r="J929" s="18" t="s">
        <v>2655</v>
      </c>
    </row>
    <row r="930" spans="1:10" ht="13" x14ac:dyDescent="0.3">
      <c r="A930" s="34" t="s">
        <v>1079</v>
      </c>
      <c r="B930" s="23" t="s">
        <v>1751</v>
      </c>
      <c r="C930" s="13">
        <v>50</v>
      </c>
      <c r="D930" s="18">
        <v>1</v>
      </c>
      <c r="E930" s="15">
        <v>3899</v>
      </c>
      <c r="F930" s="23" t="s">
        <v>1751</v>
      </c>
      <c r="G930" s="18" t="s">
        <v>907</v>
      </c>
      <c r="H930" s="18">
        <v>74122000</v>
      </c>
      <c r="I930" s="17">
        <v>0.18</v>
      </c>
      <c r="J930" s="18" t="s">
        <v>2655</v>
      </c>
    </row>
    <row r="931" spans="1:10" ht="13" x14ac:dyDescent="0.3">
      <c r="A931" s="34" t="s">
        <v>1080</v>
      </c>
      <c r="B931" s="23" t="s">
        <v>1752</v>
      </c>
      <c r="C931" s="13">
        <v>63</v>
      </c>
      <c r="D931" s="18">
        <v>1</v>
      </c>
      <c r="E931" s="15">
        <v>4464</v>
      </c>
      <c r="F931" s="23" t="s">
        <v>1752</v>
      </c>
      <c r="G931" s="18" t="s">
        <v>907</v>
      </c>
      <c r="H931" s="18">
        <v>74122000</v>
      </c>
      <c r="I931" s="17">
        <v>0.18</v>
      </c>
      <c r="J931" s="18" t="s">
        <v>2655</v>
      </c>
    </row>
    <row r="932" spans="1:10" ht="13" x14ac:dyDescent="0.3">
      <c r="A932" s="34" t="s">
        <v>1081</v>
      </c>
      <c r="B932" s="23" t="s">
        <v>1753</v>
      </c>
      <c r="C932" s="13">
        <v>75</v>
      </c>
      <c r="D932" s="18">
        <v>1</v>
      </c>
      <c r="E932" s="15">
        <v>5284</v>
      </c>
      <c r="F932" s="23" t="s">
        <v>1753</v>
      </c>
      <c r="G932" s="18" t="s">
        <v>907</v>
      </c>
      <c r="H932" s="18">
        <v>74122000</v>
      </c>
      <c r="I932" s="17">
        <v>0.18</v>
      </c>
      <c r="J932" s="18" t="s">
        <v>2655</v>
      </c>
    </row>
    <row r="933" spans="1:10" ht="13" x14ac:dyDescent="0.3">
      <c r="A933" s="34" t="s">
        <v>1082</v>
      </c>
      <c r="B933" s="23" t="s">
        <v>1754</v>
      </c>
      <c r="C933" s="13">
        <v>90</v>
      </c>
      <c r="D933" s="18">
        <v>1</v>
      </c>
      <c r="E933" s="15">
        <v>6362</v>
      </c>
      <c r="F933" s="23" t="s">
        <v>1754</v>
      </c>
      <c r="G933" s="18" t="s">
        <v>907</v>
      </c>
      <c r="H933" s="18">
        <v>74122000</v>
      </c>
      <c r="I933" s="17">
        <v>0.18</v>
      </c>
      <c r="J933" s="18" t="s">
        <v>2655</v>
      </c>
    </row>
    <row r="934" spans="1:10" ht="13" x14ac:dyDescent="0.3">
      <c r="A934" s="34" t="s">
        <v>1083</v>
      </c>
      <c r="B934" s="23" t="s">
        <v>1755</v>
      </c>
      <c r="C934" s="13">
        <v>110</v>
      </c>
      <c r="D934" s="18">
        <v>1</v>
      </c>
      <c r="E934" s="15">
        <v>9542</v>
      </c>
      <c r="F934" s="23" t="s">
        <v>1755</v>
      </c>
      <c r="G934" s="18" t="s">
        <v>907</v>
      </c>
      <c r="H934" s="18">
        <v>74122000</v>
      </c>
      <c r="I934" s="17">
        <v>0.18</v>
      </c>
      <c r="J934" s="18" t="s">
        <v>2655</v>
      </c>
    </row>
    <row r="935" spans="1:10" ht="13" x14ac:dyDescent="0.3">
      <c r="A935" s="34" t="s">
        <v>1084</v>
      </c>
      <c r="B935" s="23" t="s">
        <v>1756</v>
      </c>
      <c r="C935" s="13">
        <v>40</v>
      </c>
      <c r="D935" s="18">
        <v>1</v>
      </c>
      <c r="E935" s="15">
        <v>6054</v>
      </c>
      <c r="F935" s="23" t="s">
        <v>1756</v>
      </c>
      <c r="G935" s="18" t="s">
        <v>907</v>
      </c>
      <c r="H935" s="18">
        <v>74122000</v>
      </c>
      <c r="I935" s="17">
        <v>0.18</v>
      </c>
      <c r="J935" s="18" t="s">
        <v>2655</v>
      </c>
    </row>
    <row r="936" spans="1:10" ht="13" x14ac:dyDescent="0.3">
      <c r="A936" s="34" t="s">
        <v>1086</v>
      </c>
      <c r="B936" s="23" t="s">
        <v>1757</v>
      </c>
      <c r="C936" s="13">
        <v>50</v>
      </c>
      <c r="D936" s="18">
        <v>1</v>
      </c>
      <c r="E936" s="15">
        <v>6618</v>
      </c>
      <c r="F936" s="23" t="s">
        <v>1757</v>
      </c>
      <c r="G936" s="18" t="s">
        <v>907</v>
      </c>
      <c r="H936" s="18">
        <v>74122000</v>
      </c>
      <c r="I936" s="17">
        <v>0.18</v>
      </c>
      <c r="J936" s="18" t="s">
        <v>2655</v>
      </c>
    </row>
    <row r="937" spans="1:10" ht="13" x14ac:dyDescent="0.3">
      <c r="A937" s="34" t="s">
        <v>1087</v>
      </c>
      <c r="B937" s="23" t="s">
        <v>1758</v>
      </c>
      <c r="C937" s="13">
        <v>63</v>
      </c>
      <c r="D937" s="18">
        <v>1</v>
      </c>
      <c r="E937" s="15">
        <v>6464</v>
      </c>
      <c r="F937" s="23" t="s">
        <v>1758</v>
      </c>
      <c r="G937" s="18" t="s">
        <v>907</v>
      </c>
      <c r="H937" s="18">
        <v>74122000</v>
      </c>
      <c r="I937" s="17">
        <v>0.18</v>
      </c>
      <c r="J937" s="18" t="s">
        <v>2655</v>
      </c>
    </row>
    <row r="938" spans="1:10" ht="13" x14ac:dyDescent="0.3">
      <c r="A938" s="34" t="s">
        <v>1088</v>
      </c>
      <c r="B938" s="23" t="s">
        <v>1759</v>
      </c>
      <c r="C938" s="13">
        <v>75</v>
      </c>
      <c r="D938" s="18">
        <v>1</v>
      </c>
      <c r="E938" s="15">
        <v>9029</v>
      </c>
      <c r="F938" s="23" t="s">
        <v>1759</v>
      </c>
      <c r="G938" s="18" t="s">
        <v>907</v>
      </c>
      <c r="H938" s="18">
        <v>74122000</v>
      </c>
      <c r="I938" s="17">
        <v>0.18</v>
      </c>
      <c r="J938" s="18" t="s">
        <v>2655</v>
      </c>
    </row>
    <row r="939" spans="1:10" ht="13" x14ac:dyDescent="0.3">
      <c r="A939" s="34" t="s">
        <v>1089</v>
      </c>
      <c r="B939" s="23" t="s">
        <v>1760</v>
      </c>
      <c r="C939" s="13">
        <v>90</v>
      </c>
      <c r="D939" s="18">
        <v>1</v>
      </c>
      <c r="E939" s="15">
        <v>8537</v>
      </c>
      <c r="F939" s="23" t="s">
        <v>1760</v>
      </c>
      <c r="G939" s="18" t="s">
        <v>907</v>
      </c>
      <c r="H939" s="18">
        <v>74122000</v>
      </c>
      <c r="I939" s="17">
        <v>0.18</v>
      </c>
      <c r="J939" s="18" t="s">
        <v>2655</v>
      </c>
    </row>
    <row r="940" spans="1:10" ht="13" x14ac:dyDescent="0.3">
      <c r="A940" s="34" t="s">
        <v>1090</v>
      </c>
      <c r="B940" s="23" t="s">
        <v>1761</v>
      </c>
      <c r="C940" s="13">
        <v>110</v>
      </c>
      <c r="D940" s="18">
        <v>1</v>
      </c>
      <c r="E940" s="15">
        <v>11492</v>
      </c>
      <c r="F940" s="23" t="s">
        <v>1761</v>
      </c>
      <c r="G940" s="18" t="s">
        <v>907</v>
      </c>
      <c r="H940" s="18">
        <v>74122000</v>
      </c>
      <c r="I940" s="17">
        <v>0.18</v>
      </c>
      <c r="J940" s="18" t="s">
        <v>2655</v>
      </c>
    </row>
    <row r="941" spans="1:10" ht="13" x14ac:dyDescent="0.3">
      <c r="A941" s="34" t="s">
        <v>1091</v>
      </c>
      <c r="B941" s="23" t="s">
        <v>1762</v>
      </c>
      <c r="C941" s="13">
        <v>125</v>
      </c>
      <c r="D941" s="18">
        <v>1</v>
      </c>
      <c r="E941" s="15">
        <v>14364</v>
      </c>
      <c r="F941" s="23" t="s">
        <v>1762</v>
      </c>
      <c r="G941" s="18" t="s">
        <v>907</v>
      </c>
      <c r="H941" s="18">
        <v>74122000</v>
      </c>
      <c r="I941" s="17">
        <v>0.18</v>
      </c>
      <c r="J941" s="18" t="s">
        <v>2655</v>
      </c>
    </row>
    <row r="942" spans="1:10" ht="13" x14ac:dyDescent="0.3">
      <c r="A942" s="34" t="s">
        <v>1092</v>
      </c>
      <c r="B942" s="23" t="s">
        <v>1763</v>
      </c>
      <c r="C942" s="13">
        <v>160</v>
      </c>
      <c r="D942" s="18">
        <v>1</v>
      </c>
      <c r="E942" s="15">
        <v>13780</v>
      </c>
      <c r="F942" s="23" t="s">
        <v>1763</v>
      </c>
      <c r="G942" s="18" t="s">
        <v>907</v>
      </c>
      <c r="H942" s="18">
        <v>74122000</v>
      </c>
      <c r="I942" s="17">
        <v>0.18</v>
      </c>
      <c r="J942" s="18" t="s">
        <v>2655</v>
      </c>
    </row>
    <row r="943" spans="1:10" ht="13" x14ac:dyDescent="0.3">
      <c r="A943" s="34" t="s">
        <v>1093</v>
      </c>
      <c r="B943" s="23" t="s">
        <v>1764</v>
      </c>
      <c r="C943" s="13">
        <v>200</v>
      </c>
      <c r="D943" s="18">
        <v>1</v>
      </c>
      <c r="E943" s="15">
        <v>27579</v>
      </c>
      <c r="F943" s="23" t="s">
        <v>1764</v>
      </c>
      <c r="G943" s="18" t="s">
        <v>907</v>
      </c>
      <c r="H943" s="18">
        <v>74122000</v>
      </c>
      <c r="I943" s="17">
        <v>0.18</v>
      </c>
      <c r="J943" s="18" t="s">
        <v>2655</v>
      </c>
    </row>
    <row r="944" spans="1:10" ht="13" x14ac:dyDescent="0.3">
      <c r="A944" s="34" t="s">
        <v>1094</v>
      </c>
      <c r="B944" s="23" t="s">
        <v>1765</v>
      </c>
      <c r="C944" s="13">
        <v>250</v>
      </c>
      <c r="D944" s="18">
        <v>1</v>
      </c>
      <c r="E944" s="15">
        <v>23906</v>
      </c>
      <c r="F944" s="23" t="s">
        <v>1765</v>
      </c>
      <c r="G944" s="18" t="s">
        <v>907</v>
      </c>
      <c r="H944" s="18">
        <v>74122000</v>
      </c>
      <c r="I944" s="17">
        <v>0.18</v>
      </c>
      <c r="J944" s="18" t="s">
        <v>2655</v>
      </c>
    </row>
    <row r="945" spans="1:10" ht="13" x14ac:dyDescent="0.3">
      <c r="A945" s="34" t="s">
        <v>1095</v>
      </c>
      <c r="B945" s="23" t="s">
        <v>1766</v>
      </c>
      <c r="C945" s="13">
        <v>315</v>
      </c>
      <c r="D945" s="18">
        <v>1</v>
      </c>
      <c r="E945" s="15">
        <v>41328</v>
      </c>
      <c r="F945" s="23" t="s">
        <v>1766</v>
      </c>
      <c r="G945" s="18" t="s">
        <v>907</v>
      </c>
      <c r="H945" s="18">
        <v>74122000</v>
      </c>
      <c r="I945" s="17">
        <v>0.18</v>
      </c>
      <c r="J945" s="18" t="s">
        <v>2655</v>
      </c>
    </row>
    <row r="946" spans="1:10" ht="13" x14ac:dyDescent="0.3">
      <c r="A946" s="34" t="s">
        <v>1096</v>
      </c>
      <c r="B946" s="23" t="s">
        <v>1767</v>
      </c>
      <c r="C946" s="13">
        <v>35</v>
      </c>
      <c r="D946" s="18">
        <v>1</v>
      </c>
      <c r="E946" s="15">
        <v>81178</v>
      </c>
      <c r="F946" s="23" t="s">
        <v>1767</v>
      </c>
      <c r="G946" s="18" t="s">
        <v>907</v>
      </c>
      <c r="H946" s="18">
        <v>74122000</v>
      </c>
      <c r="I946" s="17">
        <v>0.18</v>
      </c>
      <c r="J946" s="18" t="s">
        <v>2655</v>
      </c>
    </row>
    <row r="947" spans="1:10" ht="13" x14ac:dyDescent="0.3">
      <c r="A947" s="34" t="s">
        <v>1097</v>
      </c>
      <c r="B947" s="23" t="s">
        <v>1768</v>
      </c>
      <c r="C947" s="13">
        <v>400</v>
      </c>
      <c r="D947" s="18">
        <v>1</v>
      </c>
      <c r="E947" s="15">
        <v>92464</v>
      </c>
      <c r="F947" s="23" t="s">
        <v>1768</v>
      </c>
      <c r="G947" s="18" t="s">
        <v>907</v>
      </c>
      <c r="H947" s="18">
        <v>74122000</v>
      </c>
      <c r="I947" s="17">
        <v>0.18</v>
      </c>
      <c r="J947" s="18" t="s">
        <v>2655</v>
      </c>
    </row>
    <row r="948" spans="1:10" ht="13" x14ac:dyDescent="0.3">
      <c r="A948" s="34" t="s">
        <v>1032</v>
      </c>
      <c r="B948" s="23" t="s">
        <v>1769</v>
      </c>
      <c r="C948" s="13">
        <v>20</v>
      </c>
      <c r="D948" s="18">
        <v>100</v>
      </c>
      <c r="E948" s="15">
        <v>10</v>
      </c>
      <c r="F948" s="23" t="s">
        <v>1769</v>
      </c>
      <c r="G948" s="18" t="s">
        <v>907</v>
      </c>
      <c r="H948" s="18">
        <v>74122000</v>
      </c>
      <c r="I948" s="17">
        <v>0.18</v>
      </c>
      <c r="J948" s="18" t="s">
        <v>2655</v>
      </c>
    </row>
    <row r="949" spans="1:10" ht="13" x14ac:dyDescent="0.3">
      <c r="A949" s="34" t="s">
        <v>1033</v>
      </c>
      <c r="B949" s="23" t="s">
        <v>1770</v>
      </c>
      <c r="C949" s="13">
        <v>25</v>
      </c>
      <c r="D949" s="18">
        <v>100</v>
      </c>
      <c r="E949" s="15">
        <v>14</v>
      </c>
      <c r="F949" s="23" t="s">
        <v>1770</v>
      </c>
      <c r="G949" s="18" t="s">
        <v>907</v>
      </c>
      <c r="H949" s="18">
        <v>74122000</v>
      </c>
      <c r="I949" s="17">
        <v>0.18</v>
      </c>
      <c r="J949" s="18" t="s">
        <v>2655</v>
      </c>
    </row>
    <row r="950" spans="1:10" ht="13" x14ac:dyDescent="0.3">
      <c r="A950" s="34" t="s">
        <v>1034</v>
      </c>
      <c r="B950" s="23" t="s">
        <v>1771</v>
      </c>
      <c r="C950" s="13">
        <v>32</v>
      </c>
      <c r="D950" s="18">
        <v>50</v>
      </c>
      <c r="E950" s="15">
        <v>22</v>
      </c>
      <c r="F950" s="23" t="s">
        <v>1771</v>
      </c>
      <c r="G950" s="18" t="s">
        <v>907</v>
      </c>
      <c r="H950" s="18">
        <v>74122000</v>
      </c>
      <c r="I950" s="17">
        <v>0.18</v>
      </c>
      <c r="J950" s="18" t="s">
        <v>2655</v>
      </c>
    </row>
    <row r="951" spans="1:10" ht="13" x14ac:dyDescent="0.3">
      <c r="A951" s="34" t="s">
        <v>1035</v>
      </c>
      <c r="B951" s="23" t="s">
        <v>1772</v>
      </c>
      <c r="C951" s="13">
        <v>40</v>
      </c>
      <c r="D951" s="18">
        <v>30</v>
      </c>
      <c r="E951" s="15">
        <v>44</v>
      </c>
      <c r="F951" s="23" t="s">
        <v>1772</v>
      </c>
      <c r="G951" s="18" t="s">
        <v>907</v>
      </c>
      <c r="H951" s="18">
        <v>74122000</v>
      </c>
      <c r="I951" s="17">
        <v>0.18</v>
      </c>
      <c r="J951" s="18" t="s">
        <v>2655</v>
      </c>
    </row>
    <row r="952" spans="1:10" ht="13" x14ac:dyDescent="0.3">
      <c r="A952" s="34" t="s">
        <v>995</v>
      </c>
      <c r="B952" s="23" t="s">
        <v>1773</v>
      </c>
      <c r="C952" s="13">
        <v>20</v>
      </c>
      <c r="D952" s="18">
        <v>50</v>
      </c>
      <c r="E952" s="15">
        <v>42</v>
      </c>
      <c r="F952" s="23" t="s">
        <v>1773</v>
      </c>
      <c r="G952" s="18" t="s">
        <v>907</v>
      </c>
      <c r="H952" s="18">
        <v>74122000</v>
      </c>
      <c r="I952" s="17">
        <v>0.18</v>
      </c>
      <c r="J952" s="18" t="s">
        <v>2655</v>
      </c>
    </row>
    <row r="953" spans="1:10" ht="13" x14ac:dyDescent="0.3">
      <c r="A953" s="34" t="s">
        <v>996</v>
      </c>
      <c r="B953" s="23" t="s">
        <v>1774</v>
      </c>
      <c r="C953" s="13">
        <v>25</v>
      </c>
      <c r="D953" s="18">
        <v>50</v>
      </c>
      <c r="E953" s="15">
        <v>46</v>
      </c>
      <c r="F953" s="23" t="s">
        <v>1774</v>
      </c>
      <c r="G953" s="18" t="s">
        <v>907</v>
      </c>
      <c r="H953" s="18">
        <v>74122000</v>
      </c>
      <c r="I953" s="17">
        <v>0.18</v>
      </c>
      <c r="J953" s="18" t="s">
        <v>2655</v>
      </c>
    </row>
    <row r="954" spans="1:10" ht="13" x14ac:dyDescent="0.3">
      <c r="A954" s="34" t="s">
        <v>997</v>
      </c>
      <c r="B954" s="23" t="s">
        <v>1775</v>
      </c>
      <c r="C954" s="13">
        <v>32</v>
      </c>
      <c r="D954" s="18">
        <v>30</v>
      </c>
      <c r="E954" s="15">
        <v>76</v>
      </c>
      <c r="F954" s="23" t="s">
        <v>1775</v>
      </c>
      <c r="G954" s="18" t="s">
        <v>907</v>
      </c>
      <c r="H954" s="18">
        <v>74122000</v>
      </c>
      <c r="I954" s="17">
        <v>0.18</v>
      </c>
      <c r="J954" s="18" t="s">
        <v>2655</v>
      </c>
    </row>
    <row r="955" spans="1:10" ht="13" x14ac:dyDescent="0.3">
      <c r="A955" s="34" t="s">
        <v>998</v>
      </c>
      <c r="B955" s="23" t="s">
        <v>1776</v>
      </c>
      <c r="C955" s="13">
        <v>40</v>
      </c>
      <c r="D955" s="18">
        <v>20</v>
      </c>
      <c r="E955" s="15">
        <v>98</v>
      </c>
      <c r="F955" s="23" t="s">
        <v>1776</v>
      </c>
      <c r="G955" s="18" t="s">
        <v>907</v>
      </c>
      <c r="H955" s="18">
        <v>74122000</v>
      </c>
      <c r="I955" s="17">
        <v>0.18</v>
      </c>
      <c r="J955" s="18" t="s">
        <v>2655</v>
      </c>
    </row>
    <row r="956" spans="1:10" ht="13" x14ac:dyDescent="0.3">
      <c r="A956" s="34" t="s">
        <v>999</v>
      </c>
      <c r="B956" s="23" t="s">
        <v>1777</v>
      </c>
      <c r="C956" s="13">
        <v>50</v>
      </c>
      <c r="D956" s="18">
        <v>10</v>
      </c>
      <c r="E956" s="15">
        <v>157</v>
      </c>
      <c r="F956" s="23" t="s">
        <v>1777</v>
      </c>
      <c r="G956" s="18" t="s">
        <v>907</v>
      </c>
      <c r="H956" s="18">
        <v>74122000</v>
      </c>
      <c r="I956" s="17">
        <v>0.18</v>
      </c>
      <c r="J956" s="18" t="s">
        <v>2655</v>
      </c>
    </row>
    <row r="957" spans="1:10" ht="13" x14ac:dyDescent="0.3">
      <c r="A957" s="34" t="s">
        <v>1000</v>
      </c>
      <c r="B957" s="23" t="s">
        <v>1778</v>
      </c>
      <c r="C957" s="13">
        <v>63</v>
      </c>
      <c r="D957" s="18">
        <v>5</v>
      </c>
      <c r="E957" s="15">
        <v>329</v>
      </c>
      <c r="F957" s="23" t="s">
        <v>1778</v>
      </c>
      <c r="G957" s="18" t="s">
        <v>907</v>
      </c>
      <c r="H957" s="18">
        <v>74122000</v>
      </c>
      <c r="I957" s="17">
        <v>0.18</v>
      </c>
      <c r="J957" s="18" t="s">
        <v>2655</v>
      </c>
    </row>
    <row r="958" spans="1:10" ht="13" x14ac:dyDescent="0.3">
      <c r="A958" s="34" t="s">
        <v>1001</v>
      </c>
      <c r="B958" s="23" t="s">
        <v>1779</v>
      </c>
      <c r="C958" s="13">
        <v>75</v>
      </c>
      <c r="D958" s="18">
        <v>2</v>
      </c>
      <c r="E958" s="15">
        <v>503</v>
      </c>
      <c r="F958" s="23" t="s">
        <v>1779</v>
      </c>
      <c r="G958" s="18" t="s">
        <v>907</v>
      </c>
      <c r="H958" s="18">
        <v>74122000</v>
      </c>
      <c r="I958" s="17">
        <v>0.18</v>
      </c>
      <c r="J958" s="18" t="s">
        <v>2655</v>
      </c>
    </row>
    <row r="959" spans="1:10" ht="13" x14ac:dyDescent="0.3">
      <c r="A959" s="34" t="s">
        <v>1002</v>
      </c>
      <c r="B959" s="23" t="s">
        <v>1780</v>
      </c>
      <c r="C959" s="13">
        <v>90</v>
      </c>
      <c r="D959" s="18">
        <v>1</v>
      </c>
      <c r="E959" s="15">
        <v>746</v>
      </c>
      <c r="F959" s="23" t="s">
        <v>1780</v>
      </c>
      <c r="G959" s="18" t="s">
        <v>907</v>
      </c>
      <c r="H959" s="18">
        <v>74122000</v>
      </c>
      <c r="I959" s="17">
        <v>0.18</v>
      </c>
      <c r="J959" s="18" t="s">
        <v>2655</v>
      </c>
    </row>
    <row r="960" spans="1:10" ht="13" x14ac:dyDescent="0.3">
      <c r="A960" s="34" t="s">
        <v>1003</v>
      </c>
      <c r="B960" s="23" t="s">
        <v>1781</v>
      </c>
      <c r="C960" s="13">
        <v>110</v>
      </c>
      <c r="D960" s="18">
        <v>1</v>
      </c>
      <c r="E960" s="15">
        <v>1794</v>
      </c>
      <c r="F960" s="23" t="s">
        <v>1781</v>
      </c>
      <c r="G960" s="18" t="s">
        <v>907</v>
      </c>
      <c r="H960" s="18">
        <v>74122000</v>
      </c>
      <c r="I960" s="17">
        <v>0.18</v>
      </c>
      <c r="J960" s="18" t="s">
        <v>2655</v>
      </c>
    </row>
    <row r="961" spans="1:10" ht="13" x14ac:dyDescent="0.3">
      <c r="A961" s="34" t="s">
        <v>1004</v>
      </c>
      <c r="B961" s="23" t="s">
        <v>1782</v>
      </c>
      <c r="C961" s="13">
        <v>125</v>
      </c>
      <c r="D961" s="18">
        <v>1</v>
      </c>
      <c r="E961" s="15">
        <v>1896</v>
      </c>
      <c r="F961" s="23" t="s">
        <v>1782</v>
      </c>
      <c r="G961" s="18" t="s">
        <v>907</v>
      </c>
      <c r="H961" s="18">
        <v>74122000</v>
      </c>
      <c r="I961" s="17">
        <v>0.18</v>
      </c>
      <c r="J961" s="18" t="s">
        <v>2655</v>
      </c>
    </row>
    <row r="962" spans="1:10" ht="13" x14ac:dyDescent="0.3">
      <c r="A962" s="34" t="s">
        <v>1005</v>
      </c>
      <c r="B962" s="23" t="s">
        <v>1783</v>
      </c>
      <c r="C962" s="13">
        <v>160</v>
      </c>
      <c r="D962" s="18">
        <v>1</v>
      </c>
      <c r="E962" s="15">
        <v>1712</v>
      </c>
      <c r="F962" s="23" t="s">
        <v>1783</v>
      </c>
      <c r="G962" s="18" t="s">
        <v>907</v>
      </c>
      <c r="H962" s="18">
        <v>74122000</v>
      </c>
      <c r="I962" s="17">
        <v>0.18</v>
      </c>
      <c r="J962" s="18" t="s">
        <v>2655</v>
      </c>
    </row>
    <row r="963" spans="1:10" ht="13" x14ac:dyDescent="0.3">
      <c r="A963" s="34" t="s">
        <v>1006</v>
      </c>
      <c r="B963" s="23" t="s">
        <v>1784</v>
      </c>
      <c r="C963" s="13">
        <v>200</v>
      </c>
      <c r="D963" s="18">
        <v>1</v>
      </c>
      <c r="E963" s="15">
        <v>17876</v>
      </c>
      <c r="F963" s="23" t="s">
        <v>1784</v>
      </c>
      <c r="G963" s="18" t="s">
        <v>907</v>
      </c>
      <c r="H963" s="18">
        <v>74122000</v>
      </c>
      <c r="I963" s="17">
        <v>0.18</v>
      </c>
      <c r="J963" s="18" t="s">
        <v>2655</v>
      </c>
    </row>
    <row r="964" spans="1:10" ht="13" x14ac:dyDescent="0.3">
      <c r="A964" s="34" t="s">
        <v>1007</v>
      </c>
      <c r="B964" s="23" t="s">
        <v>1785</v>
      </c>
      <c r="C964" s="13">
        <v>250</v>
      </c>
      <c r="D964" s="18">
        <v>1</v>
      </c>
      <c r="E964" s="15">
        <v>30642</v>
      </c>
      <c r="F964" s="23" t="s">
        <v>1785</v>
      </c>
      <c r="G964" s="18" t="s">
        <v>907</v>
      </c>
      <c r="H964" s="18">
        <v>74122000</v>
      </c>
      <c r="I964" s="17">
        <v>0.18</v>
      </c>
      <c r="J964" s="18" t="s">
        <v>2655</v>
      </c>
    </row>
    <row r="965" spans="1:10" ht="13" x14ac:dyDescent="0.3">
      <c r="A965" s="34" t="s">
        <v>1008</v>
      </c>
      <c r="B965" s="23" t="s">
        <v>1786</v>
      </c>
      <c r="C965" s="13">
        <v>315</v>
      </c>
      <c r="D965" s="18">
        <v>1</v>
      </c>
      <c r="E965" s="15">
        <v>55528</v>
      </c>
      <c r="F965" s="23" t="s">
        <v>1786</v>
      </c>
      <c r="G965" s="18" t="s">
        <v>907</v>
      </c>
      <c r="H965" s="18">
        <v>74122000</v>
      </c>
      <c r="I965" s="17">
        <v>0.18</v>
      </c>
      <c r="J965" s="18" t="s">
        <v>2655</v>
      </c>
    </row>
    <row r="966" spans="1:10" ht="13" x14ac:dyDescent="0.3">
      <c r="A966" s="34" t="s">
        <v>1787</v>
      </c>
      <c r="B966" s="23" t="s">
        <v>1788</v>
      </c>
      <c r="C966" s="13" t="s">
        <v>2379</v>
      </c>
      <c r="D966" s="18">
        <v>100</v>
      </c>
      <c r="E966" s="15">
        <v>22</v>
      </c>
      <c r="F966" s="23" t="s">
        <v>1788</v>
      </c>
      <c r="G966" s="18" t="s">
        <v>907</v>
      </c>
      <c r="H966" s="18">
        <v>74122000</v>
      </c>
      <c r="I966" s="17">
        <v>0.18</v>
      </c>
      <c r="J966" s="18" t="s">
        <v>2655</v>
      </c>
    </row>
    <row r="967" spans="1:10" ht="13" x14ac:dyDescent="0.3">
      <c r="A967" s="34" t="s">
        <v>1789</v>
      </c>
      <c r="B967" s="23" t="s">
        <v>1790</v>
      </c>
      <c r="C967" s="13" t="s">
        <v>2380</v>
      </c>
      <c r="D967" s="18">
        <v>100</v>
      </c>
      <c r="E967" s="15">
        <v>40</v>
      </c>
      <c r="F967" s="23" t="s">
        <v>1790</v>
      </c>
      <c r="G967" s="18" t="s">
        <v>907</v>
      </c>
      <c r="H967" s="18">
        <v>74122000</v>
      </c>
      <c r="I967" s="17">
        <v>0.18</v>
      </c>
      <c r="J967" s="18" t="s">
        <v>2655</v>
      </c>
    </row>
    <row r="968" spans="1:10" ht="13" x14ac:dyDescent="0.3">
      <c r="A968" s="34" t="s">
        <v>971</v>
      </c>
      <c r="B968" s="23" t="s">
        <v>1791</v>
      </c>
      <c r="C968" s="13">
        <v>20</v>
      </c>
      <c r="D968" s="18">
        <v>10</v>
      </c>
      <c r="E968" s="15">
        <v>171</v>
      </c>
      <c r="F968" s="23" t="s">
        <v>1791</v>
      </c>
      <c r="G968" s="18" t="s">
        <v>907</v>
      </c>
      <c r="H968" s="18">
        <v>74122000</v>
      </c>
      <c r="I968" s="17">
        <v>0.18</v>
      </c>
      <c r="J968" s="18" t="s">
        <v>2655</v>
      </c>
    </row>
    <row r="969" spans="1:10" ht="13" x14ac:dyDescent="0.3">
      <c r="A969" s="34" t="s">
        <v>972</v>
      </c>
      <c r="B969" s="23" t="s">
        <v>1792</v>
      </c>
      <c r="C969" s="13">
        <v>25</v>
      </c>
      <c r="D969" s="18">
        <v>10</v>
      </c>
      <c r="E969" s="15">
        <v>198</v>
      </c>
      <c r="F969" s="23" t="s">
        <v>1792</v>
      </c>
      <c r="G969" s="18" t="s">
        <v>907</v>
      </c>
      <c r="H969" s="18">
        <v>74122000</v>
      </c>
      <c r="I969" s="17">
        <v>0.18</v>
      </c>
      <c r="J969" s="18" t="s">
        <v>2655</v>
      </c>
    </row>
    <row r="970" spans="1:10" ht="13" x14ac:dyDescent="0.3">
      <c r="A970" s="34" t="s">
        <v>973</v>
      </c>
      <c r="B970" s="23" t="s">
        <v>1793</v>
      </c>
      <c r="C970" s="13">
        <v>32</v>
      </c>
      <c r="D970" s="18">
        <v>5</v>
      </c>
      <c r="E970" s="15">
        <v>212</v>
      </c>
      <c r="F970" s="23" t="s">
        <v>1793</v>
      </c>
      <c r="G970" s="18" t="s">
        <v>907</v>
      </c>
      <c r="H970" s="18">
        <v>74122000</v>
      </c>
      <c r="I970" s="17">
        <v>0.18</v>
      </c>
      <c r="J970" s="18" t="s">
        <v>2655</v>
      </c>
    </row>
    <row r="971" spans="1:10" ht="13" x14ac:dyDescent="0.3">
      <c r="A971" s="34" t="s">
        <v>1794</v>
      </c>
      <c r="B971" s="23" t="s">
        <v>1795</v>
      </c>
      <c r="C971" s="48" t="s">
        <v>2382</v>
      </c>
      <c r="D971" s="18">
        <v>50</v>
      </c>
      <c r="E971" s="15">
        <v>39</v>
      </c>
      <c r="F971" s="23" t="s">
        <v>1795</v>
      </c>
      <c r="G971" s="18" t="s">
        <v>907</v>
      </c>
      <c r="H971" s="18">
        <v>74122000</v>
      </c>
      <c r="I971" s="17">
        <v>0.18</v>
      </c>
      <c r="J971" s="18" t="s">
        <v>2655</v>
      </c>
    </row>
    <row r="972" spans="1:10" ht="13" x14ac:dyDescent="0.3">
      <c r="A972" s="34" t="s">
        <v>1796</v>
      </c>
      <c r="B972" s="23" t="s">
        <v>1797</v>
      </c>
      <c r="C972" s="13">
        <v>63</v>
      </c>
      <c r="D972" s="18">
        <v>1</v>
      </c>
      <c r="E972" s="15">
        <v>5146</v>
      </c>
      <c r="F972" s="23" t="s">
        <v>1797</v>
      </c>
      <c r="G972" s="18" t="s">
        <v>1884</v>
      </c>
      <c r="H972" s="18">
        <v>74122000</v>
      </c>
      <c r="I972" s="17">
        <v>0.18</v>
      </c>
      <c r="J972" s="18" t="s">
        <v>2655</v>
      </c>
    </row>
    <row r="973" spans="1:10" ht="13" x14ac:dyDescent="0.3">
      <c r="A973" s="34" t="s">
        <v>1798</v>
      </c>
      <c r="B973" s="23" t="s">
        <v>1799</v>
      </c>
      <c r="C973" s="13">
        <v>75</v>
      </c>
      <c r="D973" s="18">
        <v>1</v>
      </c>
      <c r="E973" s="15">
        <v>7115</v>
      </c>
      <c r="F973" s="23" t="s">
        <v>1799</v>
      </c>
      <c r="G973" s="18" t="s">
        <v>1884</v>
      </c>
      <c r="H973" s="18">
        <v>74122000</v>
      </c>
      <c r="I973" s="17">
        <v>0.18</v>
      </c>
      <c r="J973" s="18" t="s">
        <v>2655</v>
      </c>
    </row>
    <row r="974" spans="1:10" ht="13" x14ac:dyDescent="0.3">
      <c r="A974" s="34" t="s">
        <v>1800</v>
      </c>
      <c r="B974" s="23" t="s">
        <v>1801</v>
      </c>
      <c r="C974" s="13">
        <v>90</v>
      </c>
      <c r="D974" s="18">
        <v>1</v>
      </c>
      <c r="E974" s="15">
        <v>8686</v>
      </c>
      <c r="F974" s="23" t="s">
        <v>1801</v>
      </c>
      <c r="G974" s="18" t="s">
        <v>1884</v>
      </c>
      <c r="H974" s="18">
        <v>74122000</v>
      </c>
      <c r="I974" s="17">
        <v>0.18</v>
      </c>
      <c r="J974" s="18" t="s">
        <v>2655</v>
      </c>
    </row>
    <row r="975" spans="1:10" ht="13" x14ac:dyDescent="0.3">
      <c r="A975" s="34" t="s">
        <v>1802</v>
      </c>
      <c r="B975" s="23" t="s">
        <v>1803</v>
      </c>
      <c r="C975" s="13">
        <v>110</v>
      </c>
      <c r="D975" s="18">
        <v>1</v>
      </c>
      <c r="E975" s="15">
        <v>12261</v>
      </c>
      <c r="F975" s="23" t="s">
        <v>1803</v>
      </c>
      <c r="G975" s="18" t="s">
        <v>1884</v>
      </c>
      <c r="H975" s="18">
        <v>74122000</v>
      </c>
      <c r="I975" s="17">
        <v>0.18</v>
      </c>
      <c r="J975" s="18" t="s">
        <v>2655</v>
      </c>
    </row>
    <row r="976" spans="1:10" ht="13" x14ac:dyDescent="0.3">
      <c r="A976" s="34" t="s">
        <v>1804</v>
      </c>
      <c r="B976" s="23" t="s">
        <v>1805</v>
      </c>
      <c r="C976" s="13">
        <v>125</v>
      </c>
      <c r="D976" s="18">
        <v>1</v>
      </c>
      <c r="E976" s="15">
        <v>21274</v>
      </c>
      <c r="F976" s="23" t="s">
        <v>1805</v>
      </c>
      <c r="G976" s="18" t="s">
        <v>1884</v>
      </c>
      <c r="H976" s="18">
        <v>74122000</v>
      </c>
      <c r="I976" s="17">
        <v>0.18</v>
      </c>
      <c r="J976" s="18" t="s">
        <v>2655</v>
      </c>
    </row>
    <row r="977" spans="1:10" ht="13" x14ac:dyDescent="0.3">
      <c r="A977" s="34" t="s">
        <v>1806</v>
      </c>
      <c r="B977" s="23" t="s">
        <v>1807</v>
      </c>
      <c r="C977" s="13">
        <v>160</v>
      </c>
      <c r="D977" s="18">
        <v>1</v>
      </c>
      <c r="E977" s="15">
        <v>24173</v>
      </c>
      <c r="F977" s="23" t="s">
        <v>1807</v>
      </c>
      <c r="G977" s="18" t="s">
        <v>1884</v>
      </c>
      <c r="H977" s="18">
        <v>74122000</v>
      </c>
      <c r="I977" s="17">
        <v>0.18</v>
      </c>
      <c r="J977" s="18" t="s">
        <v>2655</v>
      </c>
    </row>
    <row r="978" spans="1:10" ht="13" x14ac:dyDescent="0.3">
      <c r="A978" s="34" t="s">
        <v>1808</v>
      </c>
      <c r="B978" s="23" t="s">
        <v>1809</v>
      </c>
      <c r="C978" s="13">
        <v>63</v>
      </c>
      <c r="D978" s="18">
        <v>1</v>
      </c>
      <c r="E978" s="15">
        <v>5368</v>
      </c>
      <c r="F978" s="23" t="s">
        <v>1809</v>
      </c>
      <c r="G978" s="18" t="s">
        <v>1884</v>
      </c>
      <c r="H978" s="18">
        <v>74122000</v>
      </c>
      <c r="I978" s="17">
        <v>0.18</v>
      </c>
      <c r="J978" s="18" t="s">
        <v>2655</v>
      </c>
    </row>
    <row r="979" spans="1:10" ht="13" x14ac:dyDescent="0.3">
      <c r="A979" s="34" t="s">
        <v>1810</v>
      </c>
      <c r="B979" s="23" t="s">
        <v>1811</v>
      </c>
      <c r="C979" s="13">
        <v>75</v>
      </c>
      <c r="D979" s="18">
        <v>1</v>
      </c>
      <c r="E979" s="15">
        <v>6754</v>
      </c>
      <c r="F979" s="23" t="s">
        <v>1811</v>
      </c>
      <c r="G979" s="18" t="s">
        <v>1884</v>
      </c>
      <c r="H979" s="18">
        <v>74122000</v>
      </c>
      <c r="I979" s="17">
        <v>0.18</v>
      </c>
      <c r="J979" s="18" t="s">
        <v>2655</v>
      </c>
    </row>
    <row r="980" spans="1:10" ht="13" x14ac:dyDescent="0.3">
      <c r="A980" s="34" t="s">
        <v>1812</v>
      </c>
      <c r="B980" s="23" t="s">
        <v>1813</v>
      </c>
      <c r="C980" s="13">
        <v>90</v>
      </c>
      <c r="D980" s="18">
        <v>1</v>
      </c>
      <c r="E980" s="15">
        <v>8069</v>
      </c>
      <c r="F980" s="23" t="s">
        <v>1813</v>
      </c>
      <c r="G980" s="18" t="s">
        <v>1884</v>
      </c>
      <c r="H980" s="18">
        <v>74122000</v>
      </c>
      <c r="I980" s="17">
        <v>0.18</v>
      </c>
      <c r="J980" s="18" t="s">
        <v>2655</v>
      </c>
    </row>
    <row r="981" spans="1:10" ht="13" x14ac:dyDescent="0.3">
      <c r="A981" s="34" t="s">
        <v>1814</v>
      </c>
      <c r="B981" s="23" t="s">
        <v>1815</v>
      </c>
      <c r="C981" s="13">
        <v>110</v>
      </c>
      <c r="D981" s="18">
        <v>1</v>
      </c>
      <c r="E981" s="15">
        <v>13437</v>
      </c>
      <c r="F981" s="23" t="s">
        <v>1815</v>
      </c>
      <c r="G981" s="18" t="s">
        <v>1884</v>
      </c>
      <c r="H981" s="18">
        <v>74122000</v>
      </c>
      <c r="I981" s="17">
        <v>0.18</v>
      </c>
      <c r="J981" s="18" t="s">
        <v>2655</v>
      </c>
    </row>
    <row r="982" spans="1:10" ht="13" x14ac:dyDescent="0.3">
      <c r="A982" s="34" t="s">
        <v>1816</v>
      </c>
      <c r="B982" s="23" t="s">
        <v>1817</v>
      </c>
      <c r="C982" s="13">
        <v>125</v>
      </c>
      <c r="D982" s="18">
        <v>1</v>
      </c>
      <c r="E982" s="15">
        <v>21867</v>
      </c>
      <c r="F982" s="23" t="s">
        <v>1817</v>
      </c>
      <c r="G982" s="18" t="s">
        <v>1884</v>
      </c>
      <c r="H982" s="18">
        <v>74122000</v>
      </c>
      <c r="I982" s="17">
        <v>0.18</v>
      </c>
      <c r="J982" s="18" t="s">
        <v>2655</v>
      </c>
    </row>
    <row r="983" spans="1:10" ht="13" x14ac:dyDescent="0.3">
      <c r="A983" s="34" t="s">
        <v>1818</v>
      </c>
      <c r="B983" s="23" t="s">
        <v>1819</v>
      </c>
      <c r="C983" s="13">
        <v>160</v>
      </c>
      <c r="D983" s="18">
        <v>1</v>
      </c>
      <c r="E983" s="15">
        <v>19805</v>
      </c>
      <c r="F983" s="23" t="s">
        <v>1819</v>
      </c>
      <c r="G983" s="18" t="s">
        <v>1884</v>
      </c>
      <c r="H983" s="18">
        <v>74122000</v>
      </c>
      <c r="I983" s="17">
        <v>0.18</v>
      </c>
      <c r="J983" s="18" t="s">
        <v>2655</v>
      </c>
    </row>
    <row r="984" spans="1:10" ht="13" x14ac:dyDescent="0.3">
      <c r="A984" s="34" t="s">
        <v>1820</v>
      </c>
      <c r="B984" s="23" t="s">
        <v>1821</v>
      </c>
      <c r="C984" s="13">
        <v>63</v>
      </c>
      <c r="D984" s="18">
        <v>1</v>
      </c>
      <c r="E984" s="15">
        <v>5636</v>
      </c>
      <c r="F984" s="23" t="s">
        <v>1821</v>
      </c>
      <c r="G984" s="18" t="s">
        <v>1884</v>
      </c>
      <c r="H984" s="18">
        <v>74122000</v>
      </c>
      <c r="I984" s="17">
        <v>0.18</v>
      </c>
      <c r="J984" s="18" t="s">
        <v>2655</v>
      </c>
    </row>
    <row r="985" spans="1:10" ht="13" x14ac:dyDescent="0.3">
      <c r="A985" s="34" t="s">
        <v>1822</v>
      </c>
      <c r="B985" s="23" t="s">
        <v>1823</v>
      </c>
      <c r="C985" s="13">
        <v>75</v>
      </c>
      <c r="D985" s="18">
        <v>1</v>
      </c>
      <c r="E985" s="15">
        <v>9141</v>
      </c>
      <c r="F985" s="23" t="s">
        <v>1823</v>
      </c>
      <c r="G985" s="18" t="s">
        <v>1884</v>
      </c>
      <c r="H985" s="18">
        <v>74122000</v>
      </c>
      <c r="I985" s="17">
        <v>0.18</v>
      </c>
      <c r="J985" s="18" t="s">
        <v>2655</v>
      </c>
    </row>
    <row r="986" spans="1:10" ht="13" x14ac:dyDescent="0.3">
      <c r="A986" s="34" t="s">
        <v>1824</v>
      </c>
      <c r="B986" s="23" t="s">
        <v>1825</v>
      </c>
      <c r="C986" s="13">
        <v>90</v>
      </c>
      <c r="D986" s="18">
        <v>1</v>
      </c>
      <c r="E986" s="15">
        <v>9874</v>
      </c>
      <c r="F986" s="23" t="s">
        <v>1825</v>
      </c>
      <c r="G986" s="18" t="s">
        <v>1884</v>
      </c>
      <c r="H986" s="18">
        <v>74122000</v>
      </c>
      <c r="I986" s="17">
        <v>0.18</v>
      </c>
      <c r="J986" s="18" t="s">
        <v>2655</v>
      </c>
    </row>
    <row r="987" spans="1:10" ht="13" x14ac:dyDescent="0.3">
      <c r="A987" s="34" t="s">
        <v>1826</v>
      </c>
      <c r="B987" s="23" t="s">
        <v>1827</v>
      </c>
      <c r="C987" s="13">
        <v>110</v>
      </c>
      <c r="D987" s="18">
        <v>1</v>
      </c>
      <c r="E987" s="15">
        <v>13227</v>
      </c>
      <c r="F987" s="23" t="s">
        <v>1827</v>
      </c>
      <c r="G987" s="18" t="s">
        <v>1884</v>
      </c>
      <c r="H987" s="18">
        <v>74122000</v>
      </c>
      <c r="I987" s="17">
        <v>0.18</v>
      </c>
      <c r="J987" s="18" t="s">
        <v>2655</v>
      </c>
    </row>
    <row r="988" spans="1:10" ht="13" x14ac:dyDescent="0.3">
      <c r="A988" s="34" t="s">
        <v>1828</v>
      </c>
      <c r="B988" s="23" t="s">
        <v>1829</v>
      </c>
      <c r="C988" s="13">
        <v>125</v>
      </c>
      <c r="D988" s="18">
        <v>1</v>
      </c>
      <c r="E988" s="15">
        <v>23229</v>
      </c>
      <c r="F988" s="23" t="s">
        <v>1829</v>
      </c>
      <c r="G988" s="18" t="s">
        <v>1884</v>
      </c>
      <c r="H988" s="18">
        <v>74122000</v>
      </c>
      <c r="I988" s="17">
        <v>0.18</v>
      </c>
      <c r="J988" s="18" t="s">
        <v>2655</v>
      </c>
    </row>
    <row r="989" spans="1:10" ht="13" x14ac:dyDescent="0.3">
      <c r="A989" s="34" t="s">
        <v>1830</v>
      </c>
      <c r="B989" s="23" t="s">
        <v>1831</v>
      </c>
      <c r="C989" s="13">
        <v>160</v>
      </c>
      <c r="D989" s="18">
        <v>1</v>
      </c>
      <c r="E989" s="15">
        <v>26105</v>
      </c>
      <c r="F989" s="23" t="s">
        <v>1831</v>
      </c>
      <c r="G989" s="18" t="s">
        <v>1884</v>
      </c>
      <c r="H989" s="18">
        <v>74122000</v>
      </c>
      <c r="I989" s="17">
        <v>0.18</v>
      </c>
      <c r="J989" s="18" t="s">
        <v>2655</v>
      </c>
    </row>
    <row r="990" spans="1:10" ht="13" x14ac:dyDescent="0.3">
      <c r="A990" s="34" t="s">
        <v>1858</v>
      </c>
      <c r="B990" s="23" t="s">
        <v>1859</v>
      </c>
      <c r="C990" s="13" t="s">
        <v>742</v>
      </c>
      <c r="D990" s="18">
        <v>1</v>
      </c>
      <c r="E990" s="15">
        <v>3261</v>
      </c>
      <c r="F990" s="23" t="s">
        <v>1859</v>
      </c>
      <c r="G990" s="18" t="s">
        <v>1884</v>
      </c>
      <c r="H990" s="18">
        <v>74122000</v>
      </c>
      <c r="I990" s="17">
        <v>0.18</v>
      </c>
      <c r="J990" s="18" t="s">
        <v>2655</v>
      </c>
    </row>
    <row r="991" spans="1:10" ht="13" x14ac:dyDescent="0.3">
      <c r="A991" s="34" t="s">
        <v>1860</v>
      </c>
      <c r="B991" s="23" t="s">
        <v>1861</v>
      </c>
      <c r="C991" s="13" t="s">
        <v>933</v>
      </c>
      <c r="D991" s="18">
        <v>1</v>
      </c>
      <c r="E991" s="15">
        <v>3168</v>
      </c>
      <c r="F991" s="23" t="s">
        <v>1861</v>
      </c>
      <c r="G991" s="18" t="s">
        <v>1884</v>
      </c>
      <c r="H991" s="18">
        <v>74122000</v>
      </c>
      <c r="I991" s="17">
        <v>0.18</v>
      </c>
      <c r="J991" s="18" t="s">
        <v>2655</v>
      </c>
    </row>
    <row r="992" spans="1:10" ht="13" x14ac:dyDescent="0.3">
      <c r="A992" s="34" t="s">
        <v>1862</v>
      </c>
      <c r="B992" s="23" t="s">
        <v>1863</v>
      </c>
      <c r="C992" s="13" t="s">
        <v>743</v>
      </c>
      <c r="D992" s="18">
        <v>1</v>
      </c>
      <c r="E992" s="15">
        <v>3971</v>
      </c>
      <c r="F992" s="23" t="s">
        <v>1863</v>
      </c>
      <c r="G992" s="18" t="s">
        <v>1884</v>
      </c>
      <c r="H992" s="18">
        <v>74122000</v>
      </c>
      <c r="I992" s="17">
        <v>0.18</v>
      </c>
      <c r="J992" s="18" t="s">
        <v>2655</v>
      </c>
    </row>
    <row r="993" spans="1:10" ht="13" x14ac:dyDescent="0.3">
      <c r="A993" s="34" t="s">
        <v>1864</v>
      </c>
      <c r="B993" s="23" t="s">
        <v>1865</v>
      </c>
      <c r="C993" s="13" t="s">
        <v>744</v>
      </c>
      <c r="D993" s="18">
        <v>1</v>
      </c>
      <c r="E993" s="15">
        <v>4484</v>
      </c>
      <c r="F993" s="23" t="s">
        <v>1865</v>
      </c>
      <c r="G993" s="18" t="s">
        <v>1884</v>
      </c>
      <c r="H993" s="18">
        <v>74122000</v>
      </c>
      <c r="I993" s="17">
        <v>0.18</v>
      </c>
      <c r="J993" s="18" t="s">
        <v>2655</v>
      </c>
    </row>
    <row r="994" spans="1:10" ht="13" x14ac:dyDescent="0.3">
      <c r="A994" s="34" t="s">
        <v>1866</v>
      </c>
      <c r="B994" s="23" t="s">
        <v>1867</v>
      </c>
      <c r="C994" s="13" t="s">
        <v>939</v>
      </c>
      <c r="D994" s="18">
        <v>1</v>
      </c>
      <c r="E994" s="15">
        <v>4914</v>
      </c>
      <c r="F994" s="23" t="s">
        <v>1867</v>
      </c>
      <c r="G994" s="18" t="s">
        <v>1884</v>
      </c>
      <c r="H994" s="18">
        <v>74122000</v>
      </c>
      <c r="I994" s="17">
        <v>0.18</v>
      </c>
      <c r="J994" s="18" t="s">
        <v>2655</v>
      </c>
    </row>
    <row r="995" spans="1:10" ht="13" x14ac:dyDescent="0.3">
      <c r="A995" s="34" t="s">
        <v>1868</v>
      </c>
      <c r="B995" s="23" t="s">
        <v>1869</v>
      </c>
      <c r="C995" s="13" t="s">
        <v>96</v>
      </c>
      <c r="D995" s="18">
        <v>1</v>
      </c>
      <c r="E995" s="15">
        <v>9560</v>
      </c>
      <c r="F995" s="23" t="s">
        <v>1869</v>
      </c>
      <c r="G995" s="18" t="s">
        <v>1884</v>
      </c>
      <c r="H995" s="18">
        <v>74122000</v>
      </c>
      <c r="I995" s="17">
        <v>0.18</v>
      </c>
      <c r="J995" s="18" t="s">
        <v>2655</v>
      </c>
    </row>
    <row r="996" spans="1:10" ht="13" x14ac:dyDescent="0.3">
      <c r="A996" s="34" t="s">
        <v>1870</v>
      </c>
      <c r="B996" s="23" t="s">
        <v>1871</v>
      </c>
      <c r="C996" s="13" t="s">
        <v>943</v>
      </c>
      <c r="D996" s="18">
        <v>1</v>
      </c>
      <c r="E996" s="15">
        <v>9107</v>
      </c>
      <c r="F996" s="23" t="s">
        <v>1871</v>
      </c>
      <c r="G996" s="18" t="s">
        <v>1884</v>
      </c>
      <c r="H996" s="18">
        <v>74122000</v>
      </c>
      <c r="I996" s="17">
        <v>0.18</v>
      </c>
      <c r="J996" s="18" t="s">
        <v>2655</v>
      </c>
    </row>
    <row r="997" spans="1:10" ht="13" x14ac:dyDescent="0.3">
      <c r="A997" s="34" t="s">
        <v>1872</v>
      </c>
      <c r="B997" s="23" t="s">
        <v>1873</v>
      </c>
      <c r="C997" s="13" t="s">
        <v>80</v>
      </c>
      <c r="D997" s="18">
        <v>1</v>
      </c>
      <c r="E997" s="15">
        <v>9175</v>
      </c>
      <c r="F997" s="23" t="s">
        <v>1873</v>
      </c>
      <c r="G997" s="18" t="s">
        <v>1884</v>
      </c>
      <c r="H997" s="18">
        <v>74122000</v>
      </c>
      <c r="I997" s="17">
        <v>0.18</v>
      </c>
      <c r="J997" s="18" t="s">
        <v>2655</v>
      </c>
    </row>
    <row r="998" spans="1:10" ht="13" x14ac:dyDescent="0.3">
      <c r="A998" s="34" t="s">
        <v>1874</v>
      </c>
      <c r="B998" s="23" t="s">
        <v>1875</v>
      </c>
      <c r="C998" s="13" t="s">
        <v>2371</v>
      </c>
      <c r="D998" s="18">
        <v>1</v>
      </c>
      <c r="E998" s="15">
        <v>13123</v>
      </c>
      <c r="F998" s="23" t="s">
        <v>1875</v>
      </c>
      <c r="G998" s="18" t="s">
        <v>1884</v>
      </c>
      <c r="H998" s="18">
        <v>74122000</v>
      </c>
      <c r="I998" s="17">
        <v>0.18</v>
      </c>
      <c r="J998" s="18" t="s">
        <v>2655</v>
      </c>
    </row>
    <row r="999" spans="1:10" ht="13" x14ac:dyDescent="0.3">
      <c r="A999" s="34" t="s">
        <v>1876</v>
      </c>
      <c r="B999" s="23" t="s">
        <v>1877</v>
      </c>
      <c r="C999" s="13" t="s">
        <v>86</v>
      </c>
      <c r="D999" s="18">
        <v>1</v>
      </c>
      <c r="E999" s="15">
        <v>15638</v>
      </c>
      <c r="F999" s="23" t="s">
        <v>1877</v>
      </c>
      <c r="G999" s="18" t="s">
        <v>1884</v>
      </c>
      <c r="H999" s="18">
        <v>74122000</v>
      </c>
      <c r="I999" s="17">
        <v>0.18</v>
      </c>
      <c r="J999" s="18" t="s">
        <v>2655</v>
      </c>
    </row>
    <row r="1000" spans="1:10" ht="13" x14ac:dyDescent="0.3">
      <c r="A1000" s="34" t="s">
        <v>1832</v>
      </c>
      <c r="B1000" s="23" t="s">
        <v>1833</v>
      </c>
      <c r="C1000" s="13">
        <v>25</v>
      </c>
      <c r="D1000" s="18">
        <v>1</v>
      </c>
      <c r="E1000" s="15">
        <v>1676</v>
      </c>
      <c r="F1000" s="23" t="s">
        <v>1833</v>
      </c>
      <c r="G1000" s="18" t="s">
        <v>1884</v>
      </c>
      <c r="H1000" s="18">
        <v>74122000</v>
      </c>
      <c r="I1000" s="17">
        <v>0.18</v>
      </c>
      <c r="J1000" s="18" t="s">
        <v>2655</v>
      </c>
    </row>
    <row r="1001" spans="1:10" ht="13" x14ac:dyDescent="0.3">
      <c r="A1001" s="34" t="s">
        <v>1834</v>
      </c>
      <c r="B1001" s="23" t="s">
        <v>1835</v>
      </c>
      <c r="C1001" s="13">
        <v>32</v>
      </c>
      <c r="D1001" s="18">
        <v>1</v>
      </c>
      <c r="E1001" s="15">
        <v>1797</v>
      </c>
      <c r="F1001" s="23" t="s">
        <v>1835</v>
      </c>
      <c r="G1001" s="18" t="s">
        <v>1884</v>
      </c>
      <c r="H1001" s="18">
        <v>74122000</v>
      </c>
      <c r="I1001" s="17">
        <v>0.18</v>
      </c>
      <c r="J1001" s="18" t="s">
        <v>2655</v>
      </c>
    </row>
    <row r="1002" spans="1:10" ht="13" x14ac:dyDescent="0.3">
      <c r="A1002" s="34" t="s">
        <v>1836</v>
      </c>
      <c r="B1002" s="23" t="s">
        <v>1837</v>
      </c>
      <c r="C1002" s="13">
        <v>40</v>
      </c>
      <c r="D1002" s="18">
        <v>1</v>
      </c>
      <c r="E1002" s="15">
        <v>2303</v>
      </c>
      <c r="F1002" s="23" t="s">
        <v>1837</v>
      </c>
      <c r="G1002" s="18" t="s">
        <v>1884</v>
      </c>
      <c r="H1002" s="18">
        <v>74122000</v>
      </c>
      <c r="I1002" s="17">
        <v>0.18</v>
      </c>
      <c r="J1002" s="18" t="s">
        <v>2655</v>
      </c>
    </row>
    <row r="1003" spans="1:10" ht="13" x14ac:dyDescent="0.3">
      <c r="A1003" s="34" t="s">
        <v>1838</v>
      </c>
      <c r="B1003" s="23" t="s">
        <v>1839</v>
      </c>
      <c r="C1003" s="13">
        <v>50</v>
      </c>
      <c r="D1003" s="18">
        <v>1</v>
      </c>
      <c r="E1003" s="15">
        <v>2608</v>
      </c>
      <c r="F1003" s="23" t="s">
        <v>1839</v>
      </c>
      <c r="G1003" s="18" t="s">
        <v>1884</v>
      </c>
      <c r="H1003" s="18">
        <v>74122000</v>
      </c>
      <c r="I1003" s="17">
        <v>0.18</v>
      </c>
      <c r="J1003" s="18" t="s">
        <v>2655</v>
      </c>
    </row>
    <row r="1004" spans="1:10" ht="13" x14ac:dyDescent="0.3">
      <c r="A1004" s="34" t="s">
        <v>1840</v>
      </c>
      <c r="B1004" s="23" t="s">
        <v>1841</v>
      </c>
      <c r="C1004" s="13">
        <v>63</v>
      </c>
      <c r="D1004" s="18">
        <v>1</v>
      </c>
      <c r="E1004" s="15">
        <v>2809</v>
      </c>
      <c r="F1004" s="23" t="s">
        <v>1841</v>
      </c>
      <c r="G1004" s="18" t="s">
        <v>1884</v>
      </c>
      <c r="H1004" s="18">
        <v>74122000</v>
      </c>
      <c r="I1004" s="17">
        <v>0.18</v>
      </c>
      <c r="J1004" s="18" t="s">
        <v>2655</v>
      </c>
    </row>
    <row r="1005" spans="1:10" ht="13" x14ac:dyDescent="0.3">
      <c r="A1005" s="34" t="s">
        <v>1842</v>
      </c>
      <c r="B1005" s="23" t="s">
        <v>1843</v>
      </c>
      <c r="C1005" s="13">
        <v>75</v>
      </c>
      <c r="D1005" s="18">
        <v>1</v>
      </c>
      <c r="E1005" s="15">
        <v>3994</v>
      </c>
      <c r="F1005" s="23" t="s">
        <v>1843</v>
      </c>
      <c r="G1005" s="18" t="s">
        <v>1884</v>
      </c>
      <c r="H1005" s="18">
        <v>74122000</v>
      </c>
      <c r="I1005" s="17">
        <v>0.18</v>
      </c>
      <c r="J1005" s="18" t="s">
        <v>2655</v>
      </c>
    </row>
    <row r="1006" spans="1:10" ht="13" x14ac:dyDescent="0.3">
      <c r="A1006" s="34" t="s">
        <v>1844</v>
      </c>
      <c r="B1006" s="23" t="s">
        <v>1845</v>
      </c>
      <c r="C1006" s="13">
        <v>90</v>
      </c>
      <c r="D1006" s="18">
        <v>1</v>
      </c>
      <c r="E1006" s="15">
        <v>5193</v>
      </c>
      <c r="F1006" s="23" t="s">
        <v>1845</v>
      </c>
      <c r="G1006" s="18" t="s">
        <v>1884</v>
      </c>
      <c r="H1006" s="18">
        <v>74122000</v>
      </c>
      <c r="I1006" s="17">
        <v>0.18</v>
      </c>
      <c r="J1006" s="18" t="s">
        <v>2655</v>
      </c>
    </row>
    <row r="1007" spans="1:10" ht="13" x14ac:dyDescent="0.3">
      <c r="A1007" s="34" t="s">
        <v>1846</v>
      </c>
      <c r="B1007" s="23" t="s">
        <v>1847</v>
      </c>
      <c r="C1007" s="13">
        <v>110</v>
      </c>
      <c r="D1007" s="18">
        <v>1</v>
      </c>
      <c r="E1007" s="15">
        <v>8105</v>
      </c>
      <c r="F1007" s="23" t="s">
        <v>1847</v>
      </c>
      <c r="G1007" s="18" t="s">
        <v>1884</v>
      </c>
      <c r="H1007" s="18">
        <v>74122000</v>
      </c>
      <c r="I1007" s="17">
        <v>0.18</v>
      </c>
      <c r="J1007" s="18" t="s">
        <v>2655</v>
      </c>
    </row>
    <row r="1008" spans="1:10" ht="13" x14ac:dyDescent="0.3">
      <c r="A1008" s="34" t="s">
        <v>1848</v>
      </c>
      <c r="B1008" s="23" t="s">
        <v>1849</v>
      </c>
      <c r="C1008" s="13">
        <v>125</v>
      </c>
      <c r="D1008" s="18">
        <v>1</v>
      </c>
      <c r="E1008" s="15">
        <v>12913</v>
      </c>
      <c r="F1008" s="23" t="s">
        <v>1849</v>
      </c>
      <c r="G1008" s="18" t="s">
        <v>1884</v>
      </c>
      <c r="H1008" s="18">
        <v>74122000</v>
      </c>
      <c r="I1008" s="17">
        <v>0.18</v>
      </c>
      <c r="J1008" s="18" t="s">
        <v>2655</v>
      </c>
    </row>
    <row r="1009" spans="1:10" ht="13" x14ac:dyDescent="0.3">
      <c r="A1009" s="34" t="s">
        <v>1850</v>
      </c>
      <c r="B1009" s="23" t="s">
        <v>1851</v>
      </c>
      <c r="C1009" s="13">
        <v>160</v>
      </c>
      <c r="D1009" s="18">
        <v>1</v>
      </c>
      <c r="E1009" s="15">
        <v>17722</v>
      </c>
      <c r="F1009" s="23" t="s">
        <v>1851</v>
      </c>
      <c r="G1009" s="18" t="s">
        <v>1884</v>
      </c>
      <c r="H1009" s="18">
        <v>74122000</v>
      </c>
      <c r="I1009" s="17">
        <v>0.18</v>
      </c>
      <c r="J1009" s="18" t="s">
        <v>2655</v>
      </c>
    </row>
    <row r="1010" spans="1:10" ht="13" x14ac:dyDescent="0.3">
      <c r="A1010" s="34" t="s">
        <v>1852</v>
      </c>
      <c r="B1010" s="23" t="s">
        <v>1853</v>
      </c>
      <c r="C1010" s="13">
        <v>200</v>
      </c>
      <c r="D1010" s="18">
        <v>1</v>
      </c>
      <c r="E1010" s="15">
        <v>29696</v>
      </c>
      <c r="F1010" s="23" t="s">
        <v>1853</v>
      </c>
      <c r="G1010" s="18" t="s">
        <v>1884</v>
      </c>
      <c r="H1010" s="18">
        <v>74122000</v>
      </c>
      <c r="I1010" s="17">
        <v>0.18</v>
      </c>
      <c r="J1010" s="18" t="s">
        <v>2655</v>
      </c>
    </row>
    <row r="1011" spans="1:10" ht="13" x14ac:dyDescent="0.3">
      <c r="A1011" s="34" t="s">
        <v>1854</v>
      </c>
      <c r="B1011" s="23" t="s">
        <v>1855</v>
      </c>
      <c r="C1011" s="13">
        <v>250</v>
      </c>
      <c r="D1011" s="18">
        <v>1</v>
      </c>
      <c r="E1011" s="15">
        <v>59404</v>
      </c>
      <c r="F1011" s="23" t="s">
        <v>1855</v>
      </c>
      <c r="G1011" s="18" t="s">
        <v>1884</v>
      </c>
      <c r="H1011" s="18">
        <v>74122000</v>
      </c>
      <c r="I1011" s="17">
        <v>0.18</v>
      </c>
      <c r="J1011" s="18" t="s">
        <v>2655</v>
      </c>
    </row>
    <row r="1012" spans="1:10" ht="13" x14ac:dyDescent="0.3">
      <c r="A1012" s="34" t="s">
        <v>1856</v>
      </c>
      <c r="B1012" s="23" t="s">
        <v>1857</v>
      </c>
      <c r="C1012" s="13">
        <v>315</v>
      </c>
      <c r="D1012" s="18">
        <v>1</v>
      </c>
      <c r="E1012" s="15">
        <v>82356</v>
      </c>
      <c r="F1012" s="23" t="s">
        <v>1857</v>
      </c>
      <c r="G1012" s="18" t="s">
        <v>1884</v>
      </c>
      <c r="H1012" s="18">
        <v>74122000</v>
      </c>
      <c r="I1012" s="17">
        <v>0.18</v>
      </c>
      <c r="J1012" s="18" t="s">
        <v>2655</v>
      </c>
    </row>
    <row r="1013" spans="1:10" ht="13" x14ac:dyDescent="0.3">
      <c r="A1013" s="34" t="s">
        <v>1098</v>
      </c>
      <c r="B1013" s="23" t="s">
        <v>2310</v>
      </c>
      <c r="C1013" s="13">
        <v>20</v>
      </c>
      <c r="D1013" s="18">
        <v>4</v>
      </c>
      <c r="E1013" s="15">
        <v>383</v>
      </c>
      <c r="F1013" s="23" t="s">
        <v>1099</v>
      </c>
      <c r="G1013" s="18" t="s">
        <v>1100</v>
      </c>
      <c r="H1013" s="18">
        <v>74122090</v>
      </c>
      <c r="I1013" s="17">
        <v>0.18</v>
      </c>
      <c r="J1013" s="18" t="s">
        <v>2654</v>
      </c>
    </row>
    <row r="1014" spans="1:10" ht="13" x14ac:dyDescent="0.3">
      <c r="A1014" s="34" t="s">
        <v>1101</v>
      </c>
      <c r="B1014" s="23" t="s">
        <v>2311</v>
      </c>
      <c r="C1014" s="13">
        <v>25</v>
      </c>
      <c r="D1014" s="18">
        <v>4</v>
      </c>
      <c r="E1014" s="15">
        <v>603</v>
      </c>
      <c r="F1014" s="23" t="s">
        <v>1099</v>
      </c>
      <c r="G1014" s="18" t="s">
        <v>1100</v>
      </c>
      <c r="H1014" s="18">
        <v>74122090</v>
      </c>
      <c r="I1014" s="17">
        <v>0.18</v>
      </c>
      <c r="J1014" s="18" t="s">
        <v>2654</v>
      </c>
    </row>
    <row r="1015" spans="1:10" ht="13" x14ac:dyDescent="0.3">
      <c r="A1015" s="34" t="s">
        <v>1102</v>
      </c>
      <c r="B1015" s="23" t="s">
        <v>2312</v>
      </c>
      <c r="C1015" s="13">
        <v>32</v>
      </c>
      <c r="D1015" s="18">
        <v>4</v>
      </c>
      <c r="E1015" s="15">
        <v>665</v>
      </c>
      <c r="F1015" s="23" t="s">
        <v>1099</v>
      </c>
      <c r="G1015" s="18" t="s">
        <v>1100</v>
      </c>
      <c r="H1015" s="18">
        <v>74122090</v>
      </c>
      <c r="I1015" s="17">
        <v>0.18</v>
      </c>
      <c r="J1015" s="18" t="s">
        <v>2654</v>
      </c>
    </row>
    <row r="1016" spans="1:10" ht="13" x14ac:dyDescent="0.3">
      <c r="A1016" s="34" t="s">
        <v>1103</v>
      </c>
      <c r="B1016" s="23" t="s">
        <v>2313</v>
      </c>
      <c r="C1016" s="13">
        <v>40</v>
      </c>
      <c r="D1016" s="18">
        <v>4</v>
      </c>
      <c r="E1016" s="15">
        <v>1085</v>
      </c>
      <c r="F1016" s="23" t="s">
        <v>1099</v>
      </c>
      <c r="G1016" s="18" t="s">
        <v>1100</v>
      </c>
      <c r="H1016" s="18">
        <v>74122090</v>
      </c>
      <c r="I1016" s="17">
        <v>0.18</v>
      </c>
      <c r="J1016" s="18" t="s">
        <v>2654</v>
      </c>
    </row>
    <row r="1017" spans="1:10" ht="13" x14ac:dyDescent="0.3">
      <c r="A1017" s="34" t="s">
        <v>1104</v>
      </c>
      <c r="B1017" s="23" t="s">
        <v>2314</v>
      </c>
      <c r="C1017" s="13">
        <v>50</v>
      </c>
      <c r="D1017" s="18">
        <v>4</v>
      </c>
      <c r="E1017" s="15">
        <v>1628</v>
      </c>
      <c r="F1017" s="23" t="s">
        <v>1099</v>
      </c>
      <c r="G1017" s="18" t="s">
        <v>1100</v>
      </c>
      <c r="H1017" s="18">
        <v>74122090</v>
      </c>
      <c r="I1017" s="17">
        <v>0.18</v>
      </c>
      <c r="J1017" s="18" t="s">
        <v>2654</v>
      </c>
    </row>
    <row r="1018" spans="1:10" ht="13" x14ac:dyDescent="0.3">
      <c r="A1018" s="34" t="s">
        <v>1105</v>
      </c>
      <c r="B1018" s="23" t="s">
        <v>2315</v>
      </c>
      <c r="C1018" s="13">
        <v>63</v>
      </c>
      <c r="D1018" s="18">
        <v>4</v>
      </c>
      <c r="E1018" s="15">
        <v>2598</v>
      </c>
      <c r="F1018" s="23" t="s">
        <v>1099</v>
      </c>
      <c r="G1018" s="18" t="s">
        <v>1100</v>
      </c>
      <c r="H1018" s="18">
        <v>74122090</v>
      </c>
      <c r="I1018" s="17">
        <v>0.18</v>
      </c>
      <c r="J1018" s="18" t="s">
        <v>2654</v>
      </c>
    </row>
    <row r="1019" spans="1:10" ht="13" x14ac:dyDescent="0.3">
      <c r="A1019" s="34" t="s">
        <v>1106</v>
      </c>
      <c r="B1019" s="23" t="s">
        <v>2316</v>
      </c>
      <c r="C1019" s="13">
        <v>75</v>
      </c>
      <c r="D1019" s="18">
        <v>4</v>
      </c>
      <c r="E1019" s="15">
        <v>3630</v>
      </c>
      <c r="F1019" s="23" t="s">
        <v>1099</v>
      </c>
      <c r="G1019" s="18" t="s">
        <v>1100</v>
      </c>
      <c r="H1019" s="18">
        <v>74122090</v>
      </c>
      <c r="I1019" s="17">
        <v>0.18</v>
      </c>
      <c r="J1019" s="18" t="s">
        <v>2654</v>
      </c>
    </row>
    <row r="1020" spans="1:10" ht="13" x14ac:dyDescent="0.3">
      <c r="A1020" s="34" t="s">
        <v>1107</v>
      </c>
      <c r="B1020" s="23" t="s">
        <v>2317</v>
      </c>
      <c r="C1020" s="13">
        <v>80</v>
      </c>
      <c r="D1020" s="18">
        <v>4</v>
      </c>
      <c r="E1020" s="15">
        <v>5309</v>
      </c>
      <c r="F1020" s="23" t="s">
        <v>1099</v>
      </c>
      <c r="G1020" s="18" t="s">
        <v>1100</v>
      </c>
      <c r="H1020" s="18">
        <v>74122090</v>
      </c>
      <c r="I1020" s="17">
        <v>0.18</v>
      </c>
      <c r="J1020" s="18" t="s">
        <v>2654</v>
      </c>
    </row>
    <row r="1021" spans="1:10" ht="13" x14ac:dyDescent="0.3">
      <c r="A1021" s="34" t="s">
        <v>1108</v>
      </c>
      <c r="B1021" s="23" t="s">
        <v>2318</v>
      </c>
      <c r="C1021" s="13">
        <v>110</v>
      </c>
      <c r="D1021" s="18">
        <v>4</v>
      </c>
      <c r="E1021" s="15">
        <v>7869</v>
      </c>
      <c r="F1021" s="23" t="s">
        <v>1099</v>
      </c>
      <c r="G1021" s="18" t="s">
        <v>1100</v>
      </c>
      <c r="H1021" s="18">
        <v>74122090</v>
      </c>
      <c r="I1021" s="17">
        <v>0.18</v>
      </c>
      <c r="J1021" s="18" t="s">
        <v>2654</v>
      </c>
    </row>
    <row r="1022" spans="1:10" ht="13" x14ac:dyDescent="0.3">
      <c r="A1022" s="34" t="s">
        <v>1898</v>
      </c>
      <c r="B1022" s="23" t="s">
        <v>2319</v>
      </c>
      <c r="C1022" s="13">
        <v>125</v>
      </c>
      <c r="D1022" s="18">
        <v>4</v>
      </c>
      <c r="E1022" s="15">
        <v>10035</v>
      </c>
      <c r="F1022" s="23" t="s">
        <v>1099</v>
      </c>
      <c r="G1022" s="18" t="s">
        <v>1100</v>
      </c>
      <c r="H1022" s="18">
        <v>74122090</v>
      </c>
      <c r="I1022" s="17">
        <v>0.18</v>
      </c>
      <c r="J1022" s="18" t="s">
        <v>2654</v>
      </c>
    </row>
    <row r="1023" spans="1:10" ht="13" x14ac:dyDescent="0.3">
      <c r="A1023" s="34" t="s">
        <v>1899</v>
      </c>
      <c r="B1023" s="23" t="s">
        <v>2320</v>
      </c>
      <c r="C1023" s="13">
        <v>160</v>
      </c>
      <c r="D1023" s="18">
        <v>4</v>
      </c>
      <c r="E1023" s="15">
        <v>16001</v>
      </c>
      <c r="F1023" s="23" t="s">
        <v>1099</v>
      </c>
      <c r="G1023" s="18" t="s">
        <v>1100</v>
      </c>
      <c r="H1023" s="18">
        <v>74122090</v>
      </c>
      <c r="I1023" s="17">
        <v>0.18</v>
      </c>
      <c r="J1023" s="18" t="s">
        <v>2654</v>
      </c>
    </row>
    <row r="1024" spans="1:10" ht="13" x14ac:dyDescent="0.3">
      <c r="A1024" s="34" t="s">
        <v>1121</v>
      </c>
      <c r="B1024" s="23" t="s">
        <v>1900</v>
      </c>
      <c r="C1024" s="13">
        <v>20</v>
      </c>
      <c r="D1024" s="18">
        <v>4</v>
      </c>
      <c r="E1024" s="15">
        <v>55</v>
      </c>
      <c r="F1024" s="23" t="s">
        <v>1122</v>
      </c>
      <c r="G1024" s="18" t="s">
        <v>1111</v>
      </c>
      <c r="H1024" s="18">
        <v>39174000</v>
      </c>
      <c r="I1024" s="17">
        <v>0.18</v>
      </c>
      <c r="J1024" s="18" t="s">
        <v>2655</v>
      </c>
    </row>
    <row r="1025" spans="1:10" ht="13" x14ac:dyDescent="0.3">
      <c r="A1025" s="34" t="s">
        <v>1123</v>
      </c>
      <c r="B1025" s="23" t="s">
        <v>1901</v>
      </c>
      <c r="C1025" s="13">
        <v>25</v>
      </c>
      <c r="D1025" s="18">
        <v>4</v>
      </c>
      <c r="E1025" s="15">
        <v>54</v>
      </c>
      <c r="F1025" s="23" t="s">
        <v>1122</v>
      </c>
      <c r="G1025" s="18" t="s">
        <v>1111</v>
      </c>
      <c r="H1025" s="18">
        <v>39174000</v>
      </c>
      <c r="I1025" s="17">
        <v>0.18</v>
      </c>
      <c r="J1025" s="18" t="s">
        <v>2655</v>
      </c>
    </row>
    <row r="1026" spans="1:10" ht="13" x14ac:dyDescent="0.3">
      <c r="A1026" s="34" t="s">
        <v>1124</v>
      </c>
      <c r="B1026" s="23" t="s">
        <v>1902</v>
      </c>
      <c r="C1026" s="13">
        <v>32</v>
      </c>
      <c r="D1026" s="18">
        <v>4</v>
      </c>
      <c r="E1026" s="15">
        <v>105</v>
      </c>
      <c r="F1026" s="23" t="s">
        <v>1122</v>
      </c>
      <c r="G1026" s="18" t="s">
        <v>1111</v>
      </c>
      <c r="H1026" s="18">
        <v>39174000</v>
      </c>
      <c r="I1026" s="17">
        <v>0.18</v>
      </c>
      <c r="J1026" s="18" t="s">
        <v>2655</v>
      </c>
    </row>
    <row r="1027" spans="1:10" ht="13" x14ac:dyDescent="0.3">
      <c r="A1027" s="34" t="s">
        <v>1125</v>
      </c>
      <c r="B1027" s="23" t="s">
        <v>1903</v>
      </c>
      <c r="C1027" s="13">
        <v>40</v>
      </c>
      <c r="D1027" s="18">
        <v>4</v>
      </c>
      <c r="E1027" s="15">
        <v>146</v>
      </c>
      <c r="F1027" s="23" t="s">
        <v>1122</v>
      </c>
      <c r="G1027" s="18" t="s">
        <v>1111</v>
      </c>
      <c r="H1027" s="18">
        <v>39174000</v>
      </c>
      <c r="I1027" s="17">
        <v>0.18</v>
      </c>
      <c r="J1027" s="18" t="s">
        <v>2655</v>
      </c>
    </row>
    <row r="1028" spans="1:10" ht="13" x14ac:dyDescent="0.3">
      <c r="A1028" s="34" t="s">
        <v>1126</v>
      </c>
      <c r="B1028" s="23" t="s">
        <v>1904</v>
      </c>
      <c r="C1028" s="13">
        <v>50</v>
      </c>
      <c r="D1028" s="18">
        <v>4</v>
      </c>
      <c r="E1028" s="15">
        <v>244</v>
      </c>
      <c r="F1028" s="23" t="s">
        <v>1122</v>
      </c>
      <c r="G1028" s="18" t="s">
        <v>1111</v>
      </c>
      <c r="H1028" s="18">
        <v>39174000</v>
      </c>
      <c r="I1028" s="17">
        <v>0.18</v>
      </c>
      <c r="J1028" s="18" t="s">
        <v>2655</v>
      </c>
    </row>
    <row r="1029" spans="1:10" ht="13" x14ac:dyDescent="0.3">
      <c r="A1029" s="34" t="s">
        <v>1127</v>
      </c>
      <c r="B1029" s="23" t="s">
        <v>1905</v>
      </c>
      <c r="C1029" s="13">
        <v>63</v>
      </c>
      <c r="D1029" s="18">
        <v>4</v>
      </c>
      <c r="E1029" s="15">
        <v>600</v>
      </c>
      <c r="F1029" s="23" t="s">
        <v>1122</v>
      </c>
      <c r="G1029" s="18" t="s">
        <v>1111</v>
      </c>
      <c r="H1029" s="18">
        <v>39174000</v>
      </c>
      <c r="I1029" s="17">
        <v>0.18</v>
      </c>
      <c r="J1029" s="18" t="s">
        <v>2655</v>
      </c>
    </row>
    <row r="1030" spans="1:10" ht="13" x14ac:dyDescent="0.3">
      <c r="A1030" s="34" t="s">
        <v>1128</v>
      </c>
      <c r="B1030" s="23" t="s">
        <v>1906</v>
      </c>
      <c r="C1030" s="13">
        <v>75</v>
      </c>
      <c r="D1030" s="18">
        <v>4</v>
      </c>
      <c r="E1030" s="15">
        <v>838</v>
      </c>
      <c r="F1030" s="23" t="s">
        <v>1122</v>
      </c>
      <c r="G1030" s="18" t="s">
        <v>1111</v>
      </c>
      <c r="H1030" s="18">
        <v>39174000</v>
      </c>
      <c r="I1030" s="17">
        <v>0.18</v>
      </c>
      <c r="J1030" s="18" t="s">
        <v>2655</v>
      </c>
    </row>
    <row r="1031" spans="1:10" ht="13" x14ac:dyDescent="0.3">
      <c r="A1031" s="34" t="s">
        <v>1129</v>
      </c>
      <c r="B1031" s="23" t="s">
        <v>1907</v>
      </c>
      <c r="C1031" s="13">
        <v>90</v>
      </c>
      <c r="D1031" s="18">
        <v>40</v>
      </c>
      <c r="E1031" s="15">
        <v>1958</v>
      </c>
      <c r="F1031" s="23" t="s">
        <v>1122</v>
      </c>
      <c r="G1031" s="18" t="s">
        <v>1111</v>
      </c>
      <c r="H1031" s="18">
        <v>39174000</v>
      </c>
      <c r="I1031" s="17">
        <v>0.18</v>
      </c>
      <c r="J1031" s="18" t="s">
        <v>2655</v>
      </c>
    </row>
    <row r="1032" spans="1:10" ht="13" x14ac:dyDescent="0.3">
      <c r="A1032" s="34" t="s">
        <v>1130</v>
      </c>
      <c r="B1032" s="23" t="s">
        <v>1908</v>
      </c>
      <c r="C1032" s="13">
        <v>110</v>
      </c>
      <c r="D1032" s="18">
        <v>20</v>
      </c>
      <c r="E1032" s="15">
        <v>3097</v>
      </c>
      <c r="F1032" s="23" t="s">
        <v>1122</v>
      </c>
      <c r="G1032" s="18" t="s">
        <v>1111</v>
      </c>
      <c r="H1032" s="18">
        <v>39174000</v>
      </c>
      <c r="I1032" s="17">
        <v>0.18</v>
      </c>
      <c r="J1032" s="18" t="s">
        <v>2655</v>
      </c>
    </row>
    <row r="1033" spans="1:10" ht="13" x14ac:dyDescent="0.3">
      <c r="A1033" s="34" t="s">
        <v>1131</v>
      </c>
      <c r="B1033" s="23" t="s">
        <v>1909</v>
      </c>
      <c r="C1033" s="13">
        <v>125</v>
      </c>
      <c r="D1033" s="18">
        <v>10</v>
      </c>
      <c r="E1033" s="15">
        <v>3486</v>
      </c>
      <c r="F1033" s="23" t="s">
        <v>1122</v>
      </c>
      <c r="G1033" s="18" t="s">
        <v>1111</v>
      </c>
      <c r="H1033" s="18">
        <v>39174000</v>
      </c>
      <c r="I1033" s="17">
        <v>0.18</v>
      </c>
      <c r="J1033" s="18" t="s">
        <v>2655</v>
      </c>
    </row>
    <row r="1034" spans="1:10" ht="13" x14ac:dyDescent="0.3">
      <c r="A1034" s="34" t="s">
        <v>1910</v>
      </c>
      <c r="B1034" s="23" t="s">
        <v>1911</v>
      </c>
      <c r="C1034" s="13">
        <v>160</v>
      </c>
      <c r="D1034" s="18">
        <v>5</v>
      </c>
      <c r="E1034" s="15">
        <v>4314</v>
      </c>
      <c r="F1034" s="23" t="s">
        <v>1122</v>
      </c>
      <c r="G1034" s="18" t="s">
        <v>1111</v>
      </c>
      <c r="H1034" s="18">
        <v>39174000</v>
      </c>
      <c r="I1034" s="17">
        <v>0.18</v>
      </c>
      <c r="J1034" s="18" t="s">
        <v>2655</v>
      </c>
    </row>
    <row r="1035" spans="1:10" ht="13" x14ac:dyDescent="0.3">
      <c r="A1035" s="34" t="s">
        <v>1109</v>
      </c>
      <c r="B1035" s="23" t="s">
        <v>1912</v>
      </c>
      <c r="C1035" s="13">
        <v>20</v>
      </c>
      <c r="D1035" s="18">
        <v>4</v>
      </c>
      <c r="E1035" s="15">
        <v>43</v>
      </c>
      <c r="F1035" s="23" t="s">
        <v>1110</v>
      </c>
      <c r="G1035" s="18" t="s">
        <v>1111</v>
      </c>
      <c r="H1035" s="18">
        <v>39174000</v>
      </c>
      <c r="I1035" s="17">
        <v>0.18</v>
      </c>
      <c r="J1035" s="18" t="s">
        <v>2655</v>
      </c>
    </row>
    <row r="1036" spans="1:10" ht="13" x14ac:dyDescent="0.3">
      <c r="A1036" s="34" t="s">
        <v>1112</v>
      </c>
      <c r="B1036" s="23" t="s">
        <v>1913</v>
      </c>
      <c r="C1036" s="13">
        <v>25</v>
      </c>
      <c r="D1036" s="18">
        <v>2</v>
      </c>
      <c r="E1036" s="15">
        <v>68</v>
      </c>
      <c r="F1036" s="23" t="s">
        <v>1110</v>
      </c>
      <c r="G1036" s="18" t="s">
        <v>1111</v>
      </c>
      <c r="H1036" s="18">
        <v>39174000</v>
      </c>
      <c r="I1036" s="17">
        <v>0.18</v>
      </c>
      <c r="J1036" s="18" t="s">
        <v>2655</v>
      </c>
    </row>
    <row r="1037" spans="1:10" ht="13" x14ac:dyDescent="0.3">
      <c r="A1037" s="34" t="s">
        <v>1113</v>
      </c>
      <c r="B1037" s="23" t="s">
        <v>1914</v>
      </c>
      <c r="C1037" s="13">
        <v>32</v>
      </c>
      <c r="D1037" s="18">
        <v>1</v>
      </c>
      <c r="E1037" s="15">
        <v>130</v>
      </c>
      <c r="F1037" s="23" t="s">
        <v>1110</v>
      </c>
      <c r="G1037" s="18" t="s">
        <v>1111</v>
      </c>
      <c r="H1037" s="18">
        <v>39174000</v>
      </c>
      <c r="I1037" s="17">
        <v>0.18</v>
      </c>
      <c r="J1037" s="18" t="s">
        <v>2655</v>
      </c>
    </row>
    <row r="1038" spans="1:10" ht="13" x14ac:dyDescent="0.3">
      <c r="A1038" s="34" t="s">
        <v>1114</v>
      </c>
      <c r="B1038" s="23" t="s">
        <v>1915</v>
      </c>
      <c r="C1038" s="13">
        <v>40</v>
      </c>
      <c r="D1038" s="18">
        <v>1</v>
      </c>
      <c r="E1038" s="15">
        <v>191</v>
      </c>
      <c r="F1038" s="23" t="s">
        <v>1110</v>
      </c>
      <c r="G1038" s="18" t="s">
        <v>1111</v>
      </c>
      <c r="H1038" s="18">
        <v>39174000</v>
      </c>
      <c r="I1038" s="17">
        <v>0.18</v>
      </c>
      <c r="J1038" s="18" t="s">
        <v>2655</v>
      </c>
    </row>
    <row r="1039" spans="1:10" ht="13" x14ac:dyDescent="0.3">
      <c r="A1039" s="34" t="s">
        <v>1115</v>
      </c>
      <c r="B1039" s="23" t="s">
        <v>1916</v>
      </c>
      <c r="C1039" s="13">
        <v>50</v>
      </c>
      <c r="D1039" s="18">
        <v>1</v>
      </c>
      <c r="E1039" s="15">
        <v>324</v>
      </c>
      <c r="F1039" s="23" t="s">
        <v>1110</v>
      </c>
      <c r="G1039" s="18" t="s">
        <v>1111</v>
      </c>
      <c r="H1039" s="18">
        <v>39174000</v>
      </c>
      <c r="I1039" s="17">
        <v>0.18</v>
      </c>
      <c r="J1039" s="18" t="s">
        <v>2655</v>
      </c>
    </row>
    <row r="1040" spans="1:10" ht="13" x14ac:dyDescent="0.3">
      <c r="A1040" s="34" t="s">
        <v>1116</v>
      </c>
      <c r="B1040" s="23" t="s">
        <v>1917</v>
      </c>
      <c r="C1040" s="13">
        <v>63</v>
      </c>
      <c r="D1040" s="18">
        <v>1</v>
      </c>
      <c r="E1040" s="15">
        <v>695</v>
      </c>
      <c r="F1040" s="23" t="s">
        <v>1110</v>
      </c>
      <c r="G1040" s="18" t="s">
        <v>1111</v>
      </c>
      <c r="H1040" s="18">
        <v>39174000</v>
      </c>
      <c r="I1040" s="17">
        <v>0.18</v>
      </c>
      <c r="J1040" s="18" t="s">
        <v>2655</v>
      </c>
    </row>
    <row r="1041" spans="1:10" ht="13" x14ac:dyDescent="0.3">
      <c r="A1041" s="34" t="s">
        <v>1117</v>
      </c>
      <c r="B1041" s="23" t="s">
        <v>1918</v>
      </c>
      <c r="C1041" s="13">
        <v>75</v>
      </c>
      <c r="D1041" s="18">
        <v>50</v>
      </c>
      <c r="E1041" s="15">
        <v>1646</v>
      </c>
      <c r="F1041" s="23" t="s">
        <v>1110</v>
      </c>
      <c r="G1041" s="18" t="s">
        <v>1111</v>
      </c>
      <c r="H1041" s="18">
        <v>39174000</v>
      </c>
      <c r="I1041" s="17">
        <v>0.18</v>
      </c>
      <c r="J1041" s="18" t="s">
        <v>2655</v>
      </c>
    </row>
    <row r="1042" spans="1:10" ht="13" x14ac:dyDescent="0.3">
      <c r="A1042" s="34" t="s">
        <v>1118</v>
      </c>
      <c r="B1042" s="23" t="s">
        <v>1919</v>
      </c>
      <c r="C1042" s="13">
        <v>90</v>
      </c>
      <c r="D1042" s="18">
        <v>25</v>
      </c>
      <c r="E1042" s="15">
        <v>1884</v>
      </c>
      <c r="F1042" s="23" t="s">
        <v>1110</v>
      </c>
      <c r="G1042" s="18" t="s">
        <v>1111</v>
      </c>
      <c r="H1042" s="18">
        <v>39174000</v>
      </c>
      <c r="I1042" s="17">
        <v>0.18</v>
      </c>
      <c r="J1042" s="18" t="s">
        <v>2655</v>
      </c>
    </row>
    <row r="1043" spans="1:10" ht="13" x14ac:dyDescent="0.3">
      <c r="A1043" s="34" t="s">
        <v>1119</v>
      </c>
      <c r="B1043" s="23" t="s">
        <v>1920</v>
      </c>
      <c r="C1043" s="13">
        <v>110</v>
      </c>
      <c r="D1043" s="18">
        <v>10</v>
      </c>
      <c r="E1043" s="15">
        <v>2904</v>
      </c>
      <c r="F1043" s="23" t="s">
        <v>1110</v>
      </c>
      <c r="G1043" s="18" t="s">
        <v>1111</v>
      </c>
      <c r="H1043" s="18">
        <v>39174000</v>
      </c>
      <c r="I1043" s="17">
        <v>0.18</v>
      </c>
      <c r="J1043" s="18" t="s">
        <v>2655</v>
      </c>
    </row>
    <row r="1044" spans="1:10" ht="13" x14ac:dyDescent="0.3">
      <c r="A1044" s="34" t="s">
        <v>1120</v>
      </c>
      <c r="B1044" s="23" t="s">
        <v>1921</v>
      </c>
      <c r="C1044" s="13">
        <v>125</v>
      </c>
      <c r="D1044" s="18">
        <v>5</v>
      </c>
      <c r="E1044" s="15">
        <v>4459</v>
      </c>
      <c r="F1044" s="23" t="s">
        <v>1110</v>
      </c>
      <c r="G1044" s="18" t="s">
        <v>1111</v>
      </c>
      <c r="H1044" s="18">
        <v>39174000</v>
      </c>
      <c r="I1044" s="17">
        <v>0.18</v>
      </c>
      <c r="J1044" s="18" t="s">
        <v>2655</v>
      </c>
    </row>
    <row r="1045" spans="1:10" ht="13" x14ac:dyDescent="0.3">
      <c r="A1045" s="34" t="s">
        <v>1922</v>
      </c>
      <c r="B1045" s="23" t="s">
        <v>1923</v>
      </c>
      <c r="C1045" s="13">
        <v>160</v>
      </c>
      <c r="D1045" s="18">
        <v>4</v>
      </c>
      <c r="E1045" s="15">
        <v>6520</v>
      </c>
      <c r="F1045" s="23" t="s">
        <v>1110</v>
      </c>
      <c r="G1045" s="18" t="s">
        <v>1111</v>
      </c>
      <c r="H1045" s="18">
        <v>39174000</v>
      </c>
      <c r="I1045" s="17">
        <v>0.18</v>
      </c>
      <c r="J1045" s="18" t="s">
        <v>2655</v>
      </c>
    </row>
    <row r="1046" spans="1:10" ht="13" x14ac:dyDescent="0.3">
      <c r="A1046" s="34" t="s">
        <v>1132</v>
      </c>
      <c r="B1046" s="23" t="s">
        <v>1924</v>
      </c>
      <c r="C1046" s="13" t="s">
        <v>721</v>
      </c>
      <c r="D1046" s="18">
        <v>2</v>
      </c>
      <c r="E1046" s="15">
        <v>311</v>
      </c>
      <c r="F1046" s="23" t="s">
        <v>1133</v>
      </c>
      <c r="G1046" s="18" t="s">
        <v>1111</v>
      </c>
      <c r="H1046" s="18">
        <v>39174000</v>
      </c>
      <c r="I1046" s="17">
        <v>0.18</v>
      </c>
      <c r="J1046" s="18" t="s">
        <v>2655</v>
      </c>
    </row>
    <row r="1047" spans="1:10" ht="13" x14ac:dyDescent="0.3">
      <c r="A1047" s="34" t="s">
        <v>1134</v>
      </c>
      <c r="B1047" s="23" t="s">
        <v>1925</v>
      </c>
      <c r="C1047" s="13" t="s">
        <v>724</v>
      </c>
      <c r="D1047" s="18">
        <v>2</v>
      </c>
      <c r="E1047" s="15">
        <v>379</v>
      </c>
      <c r="F1047" s="23" t="s">
        <v>1133</v>
      </c>
      <c r="G1047" s="18" t="s">
        <v>1111</v>
      </c>
      <c r="H1047" s="18">
        <v>39174000</v>
      </c>
      <c r="I1047" s="17">
        <v>0.18</v>
      </c>
      <c r="J1047" s="18" t="s">
        <v>2655</v>
      </c>
    </row>
    <row r="1048" spans="1:10" ht="13" x14ac:dyDescent="0.3">
      <c r="A1048" s="34" t="s">
        <v>1135</v>
      </c>
      <c r="B1048" s="23" t="s">
        <v>1926</v>
      </c>
      <c r="C1048" s="13" t="s">
        <v>723</v>
      </c>
      <c r="D1048" s="18">
        <v>1</v>
      </c>
      <c r="E1048" s="15">
        <v>325</v>
      </c>
      <c r="F1048" s="23" t="s">
        <v>1133</v>
      </c>
      <c r="G1048" s="18" t="s">
        <v>1111</v>
      </c>
      <c r="H1048" s="18">
        <v>39174000</v>
      </c>
      <c r="I1048" s="17">
        <v>0.18</v>
      </c>
      <c r="J1048" s="18" t="s">
        <v>2655</v>
      </c>
    </row>
    <row r="1049" spans="1:10" ht="13" x14ac:dyDescent="0.3">
      <c r="A1049" s="34" t="s">
        <v>1137</v>
      </c>
      <c r="B1049" s="23" t="s">
        <v>1927</v>
      </c>
      <c r="C1049" s="13" t="s">
        <v>726</v>
      </c>
      <c r="D1049" s="18">
        <v>1</v>
      </c>
      <c r="E1049" s="15">
        <v>726</v>
      </c>
      <c r="F1049" s="23" t="s">
        <v>1133</v>
      </c>
      <c r="G1049" s="18" t="s">
        <v>1111</v>
      </c>
      <c r="H1049" s="18">
        <v>39174000</v>
      </c>
      <c r="I1049" s="17">
        <v>0.18</v>
      </c>
      <c r="J1049" s="18" t="s">
        <v>2655</v>
      </c>
    </row>
    <row r="1050" spans="1:10" ht="13" x14ac:dyDescent="0.3">
      <c r="A1050" s="34" t="s">
        <v>1136</v>
      </c>
      <c r="B1050" s="23" t="s">
        <v>1928</v>
      </c>
      <c r="C1050" s="13" t="s">
        <v>725</v>
      </c>
      <c r="D1050" s="18">
        <v>1</v>
      </c>
      <c r="E1050" s="15">
        <v>427</v>
      </c>
      <c r="F1050" s="23" t="s">
        <v>1133</v>
      </c>
      <c r="G1050" s="18" t="s">
        <v>1111</v>
      </c>
      <c r="H1050" s="18">
        <v>39174000</v>
      </c>
      <c r="I1050" s="17">
        <v>0.18</v>
      </c>
      <c r="J1050" s="18" t="s">
        <v>2655</v>
      </c>
    </row>
    <row r="1051" spans="1:10" ht="13" x14ac:dyDescent="0.3">
      <c r="A1051" s="34" t="s">
        <v>1138</v>
      </c>
      <c r="B1051" s="23" t="s">
        <v>1929</v>
      </c>
      <c r="C1051" s="13" t="s">
        <v>721</v>
      </c>
      <c r="D1051" s="18">
        <v>20</v>
      </c>
      <c r="E1051" s="15">
        <v>398</v>
      </c>
      <c r="F1051" s="23" t="s">
        <v>1139</v>
      </c>
      <c r="G1051" s="18" t="s">
        <v>1111</v>
      </c>
      <c r="H1051" s="18">
        <v>39174000</v>
      </c>
      <c r="I1051" s="17">
        <v>0.18</v>
      </c>
      <c r="J1051" s="18" t="s">
        <v>2655</v>
      </c>
    </row>
    <row r="1052" spans="1:10" ht="13" x14ac:dyDescent="0.3">
      <c r="A1052" s="34" t="s">
        <v>1140</v>
      </c>
      <c r="B1052" s="23" t="s">
        <v>1930</v>
      </c>
      <c r="C1052" s="13" t="s">
        <v>724</v>
      </c>
      <c r="D1052" s="18">
        <v>10</v>
      </c>
      <c r="E1052" s="15">
        <v>605</v>
      </c>
      <c r="F1052" s="23" t="s">
        <v>1139</v>
      </c>
      <c r="G1052" s="18" t="s">
        <v>1111</v>
      </c>
      <c r="H1052" s="18">
        <v>39174000</v>
      </c>
      <c r="I1052" s="17">
        <v>0.18</v>
      </c>
      <c r="J1052" s="18" t="s">
        <v>2655</v>
      </c>
    </row>
    <row r="1053" spans="1:10" ht="13" x14ac:dyDescent="0.3">
      <c r="A1053" s="34" t="s">
        <v>1141</v>
      </c>
      <c r="B1053" s="23" t="s">
        <v>1931</v>
      </c>
      <c r="C1053" s="13" t="s">
        <v>723</v>
      </c>
      <c r="D1053" s="18">
        <v>10</v>
      </c>
      <c r="E1053" s="15">
        <v>407</v>
      </c>
      <c r="F1053" s="23" t="s">
        <v>1139</v>
      </c>
      <c r="G1053" s="18" t="s">
        <v>1111</v>
      </c>
      <c r="H1053" s="18">
        <v>39174000</v>
      </c>
      <c r="I1053" s="17">
        <v>0.18</v>
      </c>
      <c r="J1053" s="18" t="s">
        <v>2655</v>
      </c>
    </row>
    <row r="1054" spans="1:10" ht="13" x14ac:dyDescent="0.3">
      <c r="A1054" s="34" t="s">
        <v>1143</v>
      </c>
      <c r="B1054" s="23" t="s">
        <v>1932</v>
      </c>
      <c r="C1054" s="13" t="s">
        <v>726</v>
      </c>
      <c r="D1054" s="18">
        <v>5</v>
      </c>
      <c r="E1054" s="15">
        <v>862</v>
      </c>
      <c r="F1054" s="23" t="s">
        <v>1139</v>
      </c>
      <c r="G1054" s="18" t="s">
        <v>1111</v>
      </c>
      <c r="H1054" s="18">
        <v>39174000</v>
      </c>
      <c r="I1054" s="17">
        <v>0.18</v>
      </c>
      <c r="J1054" s="18" t="s">
        <v>2655</v>
      </c>
    </row>
    <row r="1055" spans="1:10" ht="13" x14ac:dyDescent="0.3">
      <c r="A1055" s="34" t="s">
        <v>1142</v>
      </c>
      <c r="B1055" s="23" t="s">
        <v>1933</v>
      </c>
      <c r="C1055" s="13" t="s">
        <v>725</v>
      </c>
      <c r="D1055" s="18">
        <v>5</v>
      </c>
      <c r="E1055" s="15">
        <v>653</v>
      </c>
      <c r="F1055" s="23" t="s">
        <v>1139</v>
      </c>
      <c r="G1055" s="18" t="s">
        <v>1111</v>
      </c>
      <c r="H1055" s="18">
        <v>39174000</v>
      </c>
      <c r="I1055" s="17">
        <v>0.18</v>
      </c>
      <c r="J1055" s="18" t="s">
        <v>2655</v>
      </c>
    </row>
    <row r="1056" spans="1:10" ht="13" x14ac:dyDescent="0.3">
      <c r="A1056" s="34" t="s">
        <v>1934</v>
      </c>
      <c r="B1056" s="23" t="s">
        <v>1935</v>
      </c>
      <c r="C1056" s="13" t="s">
        <v>722</v>
      </c>
      <c r="D1056" s="18">
        <v>20</v>
      </c>
      <c r="E1056" s="15">
        <v>1045</v>
      </c>
      <c r="F1056" s="23" t="s">
        <v>1144</v>
      </c>
      <c r="G1056" s="18" t="s">
        <v>1111</v>
      </c>
      <c r="H1056" s="18">
        <v>39174000</v>
      </c>
      <c r="I1056" s="17">
        <v>0.18</v>
      </c>
      <c r="J1056" s="18" t="s">
        <v>2655</v>
      </c>
    </row>
    <row r="1057" spans="1:10" ht="13" x14ac:dyDescent="0.3">
      <c r="A1057" s="34" t="s">
        <v>1936</v>
      </c>
      <c r="B1057" s="23" t="s">
        <v>1937</v>
      </c>
      <c r="C1057" s="13" t="s">
        <v>734</v>
      </c>
      <c r="D1057" s="18">
        <v>10</v>
      </c>
      <c r="E1057" s="15">
        <v>1574</v>
      </c>
      <c r="F1057" s="23" t="s">
        <v>1144</v>
      </c>
      <c r="G1057" s="18" t="s">
        <v>1111</v>
      </c>
      <c r="H1057" s="18">
        <v>39174000</v>
      </c>
      <c r="I1057" s="17">
        <v>0.18</v>
      </c>
      <c r="J1057" s="18" t="s">
        <v>2655</v>
      </c>
    </row>
    <row r="1058" spans="1:10" ht="13" x14ac:dyDescent="0.3">
      <c r="A1058" s="34" t="s">
        <v>1938</v>
      </c>
      <c r="B1058" s="23" t="s">
        <v>1939</v>
      </c>
      <c r="C1058" s="13" t="s">
        <v>724</v>
      </c>
      <c r="D1058" s="18">
        <v>10</v>
      </c>
      <c r="E1058" s="15">
        <v>1059</v>
      </c>
      <c r="F1058" s="23" t="s">
        <v>1144</v>
      </c>
      <c r="G1058" s="18" t="s">
        <v>1111</v>
      </c>
      <c r="H1058" s="18">
        <v>39174000</v>
      </c>
      <c r="I1058" s="17">
        <v>0.18</v>
      </c>
      <c r="J1058" s="18" t="s">
        <v>2655</v>
      </c>
    </row>
    <row r="1059" spans="1:10" ht="13" x14ac:dyDescent="0.3">
      <c r="A1059" s="34" t="s">
        <v>1940</v>
      </c>
      <c r="B1059" s="23" t="s">
        <v>1941</v>
      </c>
      <c r="C1059" s="13" t="s">
        <v>850</v>
      </c>
      <c r="D1059" s="18">
        <v>5</v>
      </c>
      <c r="E1059" s="15">
        <v>3060</v>
      </c>
      <c r="F1059" s="23" t="s">
        <v>1144</v>
      </c>
      <c r="G1059" s="18" t="s">
        <v>1111</v>
      </c>
      <c r="H1059" s="18">
        <v>39174000</v>
      </c>
      <c r="I1059" s="17">
        <v>0.18</v>
      </c>
      <c r="J1059" s="18" t="s">
        <v>2655</v>
      </c>
    </row>
    <row r="1060" spans="1:10" ht="13" x14ac:dyDescent="0.3">
      <c r="A1060" s="34" t="s">
        <v>1942</v>
      </c>
      <c r="B1060" s="23" t="s">
        <v>1943</v>
      </c>
      <c r="C1060" s="13" t="s">
        <v>2050</v>
      </c>
      <c r="D1060" s="18">
        <v>5</v>
      </c>
      <c r="E1060" s="15">
        <v>1624</v>
      </c>
      <c r="F1060" s="23" t="s">
        <v>1144</v>
      </c>
      <c r="G1060" s="18" t="s">
        <v>1111</v>
      </c>
      <c r="H1060" s="18">
        <v>39174000</v>
      </c>
      <c r="I1060" s="17">
        <v>0.18</v>
      </c>
      <c r="J1060" s="18" t="s">
        <v>2655</v>
      </c>
    </row>
    <row r="1061" spans="1:10" ht="13" x14ac:dyDescent="0.3">
      <c r="A1061" s="34" t="s">
        <v>1145</v>
      </c>
      <c r="B1061" s="23" t="s">
        <v>1944</v>
      </c>
      <c r="C1061" s="13">
        <v>20</v>
      </c>
      <c r="D1061" s="18">
        <v>1</v>
      </c>
      <c r="E1061" s="15">
        <v>54</v>
      </c>
      <c r="F1061" s="23" t="s">
        <v>1146</v>
      </c>
      <c r="G1061" s="18" t="s">
        <v>1111</v>
      </c>
      <c r="H1061" s="18">
        <v>39174000</v>
      </c>
      <c r="I1061" s="17">
        <v>0.18</v>
      </c>
      <c r="J1061" s="18" t="s">
        <v>2655</v>
      </c>
    </row>
    <row r="1062" spans="1:10" ht="13" x14ac:dyDescent="0.3">
      <c r="A1062" s="34" t="s">
        <v>1147</v>
      </c>
      <c r="B1062" s="23" t="s">
        <v>1945</v>
      </c>
      <c r="C1062" s="13">
        <v>25</v>
      </c>
      <c r="D1062" s="18">
        <v>1</v>
      </c>
      <c r="E1062" s="15">
        <v>82</v>
      </c>
      <c r="F1062" s="23" t="s">
        <v>1146</v>
      </c>
      <c r="G1062" s="18" t="s">
        <v>1111</v>
      </c>
      <c r="H1062" s="18">
        <v>39174000</v>
      </c>
      <c r="I1062" s="17">
        <v>0.18</v>
      </c>
      <c r="J1062" s="18" t="s">
        <v>2655</v>
      </c>
    </row>
    <row r="1063" spans="1:10" ht="13" x14ac:dyDescent="0.3">
      <c r="A1063" s="34" t="s">
        <v>1148</v>
      </c>
      <c r="B1063" s="23" t="s">
        <v>1946</v>
      </c>
      <c r="C1063" s="13">
        <v>32</v>
      </c>
      <c r="D1063" s="18">
        <v>1</v>
      </c>
      <c r="E1063" s="15">
        <v>161</v>
      </c>
      <c r="F1063" s="23" t="s">
        <v>1146</v>
      </c>
      <c r="G1063" s="18" t="s">
        <v>1111</v>
      </c>
      <c r="H1063" s="18">
        <v>39174000</v>
      </c>
      <c r="I1063" s="17">
        <v>0.18</v>
      </c>
      <c r="J1063" s="18" t="s">
        <v>2655</v>
      </c>
    </row>
    <row r="1064" spans="1:10" ht="13" x14ac:dyDescent="0.3">
      <c r="A1064" s="34" t="s">
        <v>1149</v>
      </c>
      <c r="B1064" s="23" t="s">
        <v>1947</v>
      </c>
      <c r="C1064" s="13">
        <v>40</v>
      </c>
      <c r="D1064" s="18">
        <v>1</v>
      </c>
      <c r="E1064" s="15">
        <v>254</v>
      </c>
      <c r="F1064" s="23" t="s">
        <v>1146</v>
      </c>
      <c r="G1064" s="18" t="s">
        <v>1111</v>
      </c>
      <c r="H1064" s="18">
        <v>39174000</v>
      </c>
      <c r="I1064" s="17">
        <v>0.18</v>
      </c>
      <c r="J1064" s="18" t="s">
        <v>2655</v>
      </c>
    </row>
    <row r="1065" spans="1:10" ht="13" x14ac:dyDescent="0.3">
      <c r="A1065" s="34" t="s">
        <v>1150</v>
      </c>
      <c r="B1065" s="23" t="s">
        <v>1948</v>
      </c>
      <c r="C1065" s="13">
        <v>50</v>
      </c>
      <c r="D1065" s="18">
        <v>1</v>
      </c>
      <c r="E1065" s="15">
        <v>626</v>
      </c>
      <c r="F1065" s="23" t="s">
        <v>1146</v>
      </c>
      <c r="G1065" s="18" t="s">
        <v>1111</v>
      </c>
      <c r="H1065" s="18">
        <v>39174000</v>
      </c>
      <c r="I1065" s="17">
        <v>0.18</v>
      </c>
      <c r="J1065" s="18" t="s">
        <v>2655</v>
      </c>
    </row>
    <row r="1066" spans="1:10" ht="13" x14ac:dyDescent="0.3">
      <c r="A1066" s="34" t="s">
        <v>1151</v>
      </c>
      <c r="B1066" s="23" t="s">
        <v>1949</v>
      </c>
      <c r="C1066" s="13">
        <v>63</v>
      </c>
      <c r="D1066" s="18">
        <v>25</v>
      </c>
      <c r="E1066" s="15">
        <v>883</v>
      </c>
      <c r="F1066" s="23" t="s">
        <v>1146</v>
      </c>
      <c r="G1066" s="18" t="s">
        <v>1111</v>
      </c>
      <c r="H1066" s="18">
        <v>39174000</v>
      </c>
      <c r="I1066" s="17">
        <v>0.18</v>
      </c>
      <c r="J1066" s="18" t="s">
        <v>2655</v>
      </c>
    </row>
    <row r="1067" spans="1:10" ht="13" x14ac:dyDescent="0.3">
      <c r="A1067" s="34" t="s">
        <v>1152</v>
      </c>
      <c r="B1067" s="23" t="s">
        <v>1950</v>
      </c>
      <c r="C1067" s="13">
        <v>75</v>
      </c>
      <c r="D1067" s="18">
        <v>15</v>
      </c>
      <c r="E1067" s="15">
        <v>2044</v>
      </c>
      <c r="F1067" s="23" t="s">
        <v>1146</v>
      </c>
      <c r="G1067" s="18" t="s">
        <v>1111</v>
      </c>
      <c r="H1067" s="18">
        <v>39174000</v>
      </c>
      <c r="I1067" s="17">
        <v>0.18</v>
      </c>
      <c r="J1067" s="18" t="s">
        <v>2655</v>
      </c>
    </row>
    <row r="1068" spans="1:10" ht="13" x14ac:dyDescent="0.3">
      <c r="A1068" s="34" t="s">
        <v>1153</v>
      </c>
      <c r="B1068" s="23" t="s">
        <v>1951</v>
      </c>
      <c r="C1068" s="13">
        <v>90</v>
      </c>
      <c r="D1068" s="18">
        <v>10</v>
      </c>
      <c r="E1068" s="15">
        <v>2205</v>
      </c>
      <c r="F1068" s="23" t="s">
        <v>1146</v>
      </c>
      <c r="G1068" s="18" t="s">
        <v>1111</v>
      </c>
      <c r="H1068" s="18">
        <v>39174000</v>
      </c>
      <c r="I1068" s="17">
        <v>0.18</v>
      </c>
      <c r="J1068" s="18" t="s">
        <v>2655</v>
      </c>
    </row>
    <row r="1069" spans="1:10" ht="13" x14ac:dyDescent="0.3">
      <c r="A1069" s="34" t="s">
        <v>1154</v>
      </c>
      <c r="B1069" s="23" t="s">
        <v>1952</v>
      </c>
      <c r="C1069" s="13">
        <v>110</v>
      </c>
      <c r="D1069" s="18">
        <v>5</v>
      </c>
      <c r="E1069" s="15">
        <v>4003</v>
      </c>
      <c r="F1069" s="23" t="s">
        <v>1146</v>
      </c>
      <c r="G1069" s="18" t="s">
        <v>1111</v>
      </c>
      <c r="H1069" s="18">
        <v>39174000</v>
      </c>
      <c r="I1069" s="17">
        <v>0.18</v>
      </c>
      <c r="J1069" s="18" t="s">
        <v>2655</v>
      </c>
    </row>
    <row r="1070" spans="1:10" ht="13" x14ac:dyDescent="0.3">
      <c r="A1070" s="34" t="s">
        <v>1155</v>
      </c>
      <c r="B1070" s="23" t="s">
        <v>1953</v>
      </c>
      <c r="C1070" s="13">
        <v>125</v>
      </c>
      <c r="D1070" s="18">
        <v>2</v>
      </c>
      <c r="E1070" s="15">
        <v>5588</v>
      </c>
      <c r="F1070" s="23" t="s">
        <v>1146</v>
      </c>
      <c r="G1070" s="18" t="s">
        <v>1111</v>
      </c>
      <c r="H1070" s="18">
        <v>39174000</v>
      </c>
      <c r="I1070" s="17">
        <v>0.18</v>
      </c>
      <c r="J1070" s="18" t="s">
        <v>2655</v>
      </c>
    </row>
    <row r="1071" spans="1:10" ht="13" x14ac:dyDescent="0.3">
      <c r="A1071" s="34" t="s">
        <v>1954</v>
      </c>
      <c r="B1071" s="23" t="s">
        <v>1955</v>
      </c>
      <c r="C1071" s="13">
        <v>160</v>
      </c>
      <c r="D1071" s="18">
        <v>2</v>
      </c>
      <c r="E1071" s="15">
        <v>8276</v>
      </c>
      <c r="F1071" s="23" t="s">
        <v>1146</v>
      </c>
      <c r="G1071" s="18" t="s">
        <v>1111</v>
      </c>
      <c r="H1071" s="18">
        <v>39174000</v>
      </c>
      <c r="I1071" s="17">
        <v>0.18</v>
      </c>
      <c r="J1071" s="18" t="s">
        <v>2655</v>
      </c>
    </row>
    <row r="1072" spans="1:10" ht="13" x14ac:dyDescent="0.3">
      <c r="A1072" s="34" t="s">
        <v>1156</v>
      </c>
      <c r="B1072" s="23" t="s">
        <v>1956</v>
      </c>
      <c r="C1072" s="13" t="s">
        <v>767</v>
      </c>
      <c r="D1072" s="18">
        <v>1</v>
      </c>
      <c r="E1072" s="15">
        <v>65</v>
      </c>
      <c r="F1072" s="23" t="s">
        <v>1157</v>
      </c>
      <c r="G1072" s="18" t="s">
        <v>1111</v>
      </c>
      <c r="H1072" s="18">
        <v>39174000</v>
      </c>
      <c r="I1072" s="17">
        <v>0.18</v>
      </c>
      <c r="J1072" s="18" t="s">
        <v>2655</v>
      </c>
    </row>
    <row r="1073" spans="1:10" ht="13" x14ac:dyDescent="0.3">
      <c r="A1073" s="34" t="s">
        <v>1158</v>
      </c>
      <c r="B1073" s="23" t="s">
        <v>1957</v>
      </c>
      <c r="C1073" s="13" t="s">
        <v>769</v>
      </c>
      <c r="D1073" s="18">
        <v>1</v>
      </c>
      <c r="E1073" s="15">
        <v>77</v>
      </c>
      <c r="F1073" s="23" t="s">
        <v>1157</v>
      </c>
      <c r="G1073" s="18" t="s">
        <v>1111</v>
      </c>
      <c r="H1073" s="18">
        <v>39174000</v>
      </c>
      <c r="I1073" s="17">
        <v>0.18</v>
      </c>
      <c r="J1073" s="18" t="s">
        <v>2655</v>
      </c>
    </row>
    <row r="1074" spans="1:10" ht="13" x14ac:dyDescent="0.3">
      <c r="A1074" s="34" t="s">
        <v>1159</v>
      </c>
      <c r="B1074" s="23" t="s">
        <v>1958</v>
      </c>
      <c r="C1074" s="13" t="s">
        <v>768</v>
      </c>
      <c r="D1074" s="18">
        <v>1</v>
      </c>
      <c r="E1074" s="15">
        <v>74</v>
      </c>
      <c r="F1074" s="23" t="s">
        <v>1157</v>
      </c>
      <c r="G1074" s="18" t="s">
        <v>1111</v>
      </c>
      <c r="H1074" s="18">
        <v>39174000</v>
      </c>
      <c r="I1074" s="17">
        <v>0.18</v>
      </c>
      <c r="J1074" s="18" t="s">
        <v>2655</v>
      </c>
    </row>
    <row r="1075" spans="1:10" ht="13" x14ac:dyDescent="0.3">
      <c r="A1075" s="34" t="s">
        <v>1161</v>
      </c>
      <c r="B1075" s="23" t="s">
        <v>1959</v>
      </c>
      <c r="C1075" s="13" t="s">
        <v>772</v>
      </c>
      <c r="D1075" s="18">
        <v>1</v>
      </c>
      <c r="E1075" s="15">
        <v>127</v>
      </c>
      <c r="F1075" s="23" t="s">
        <v>1157</v>
      </c>
      <c r="G1075" s="18" t="s">
        <v>1111</v>
      </c>
      <c r="H1075" s="18">
        <v>39174000</v>
      </c>
      <c r="I1075" s="17">
        <v>0.18</v>
      </c>
      <c r="J1075" s="18" t="s">
        <v>2655</v>
      </c>
    </row>
    <row r="1076" spans="1:10" ht="13" x14ac:dyDescent="0.3">
      <c r="A1076" s="34" t="s">
        <v>1160</v>
      </c>
      <c r="B1076" s="23" t="s">
        <v>1960</v>
      </c>
      <c r="C1076" s="13" t="s">
        <v>774</v>
      </c>
      <c r="D1076" s="18">
        <v>20</v>
      </c>
      <c r="E1076" s="15">
        <v>116</v>
      </c>
      <c r="F1076" s="23" t="s">
        <v>1157</v>
      </c>
      <c r="G1076" s="18" t="s">
        <v>1111</v>
      </c>
      <c r="H1076" s="18">
        <v>39174000</v>
      </c>
      <c r="I1076" s="17">
        <v>0.18</v>
      </c>
      <c r="J1076" s="18" t="s">
        <v>2655</v>
      </c>
    </row>
    <row r="1077" spans="1:10" ht="13" x14ac:dyDescent="0.3">
      <c r="A1077" s="34" t="s">
        <v>1162</v>
      </c>
      <c r="B1077" s="23" t="s">
        <v>1961</v>
      </c>
      <c r="C1077" s="13" t="s">
        <v>773</v>
      </c>
      <c r="D1077" s="18">
        <v>20</v>
      </c>
      <c r="E1077" s="15">
        <v>121</v>
      </c>
      <c r="F1077" s="23" t="s">
        <v>1157</v>
      </c>
      <c r="G1077" s="18" t="s">
        <v>1111</v>
      </c>
      <c r="H1077" s="18">
        <v>39174000</v>
      </c>
      <c r="I1077" s="17">
        <v>0.18</v>
      </c>
      <c r="J1077" s="18" t="s">
        <v>2655</v>
      </c>
    </row>
    <row r="1078" spans="1:10" ht="13" x14ac:dyDescent="0.3">
      <c r="A1078" s="34" t="s">
        <v>1163</v>
      </c>
      <c r="B1078" s="23" t="s">
        <v>1962</v>
      </c>
      <c r="C1078" s="13" t="s">
        <v>1164</v>
      </c>
      <c r="D1078" s="18">
        <v>20</v>
      </c>
      <c r="E1078" s="15">
        <v>174</v>
      </c>
      <c r="F1078" s="23" t="s">
        <v>1157</v>
      </c>
      <c r="G1078" s="18" t="s">
        <v>1111</v>
      </c>
      <c r="H1078" s="18">
        <v>39174000</v>
      </c>
      <c r="I1078" s="17">
        <v>0.18</v>
      </c>
      <c r="J1078" s="18" t="s">
        <v>2655</v>
      </c>
    </row>
    <row r="1079" spans="1:10" ht="13" x14ac:dyDescent="0.3">
      <c r="A1079" s="34" t="s">
        <v>1165</v>
      </c>
      <c r="B1079" s="23" t="s">
        <v>1963</v>
      </c>
      <c r="C1079" s="13" t="s">
        <v>775</v>
      </c>
      <c r="D1079" s="18">
        <v>10</v>
      </c>
      <c r="E1079" s="15">
        <v>179</v>
      </c>
      <c r="F1079" s="23" t="s">
        <v>1157</v>
      </c>
      <c r="G1079" s="18" t="s">
        <v>1111</v>
      </c>
      <c r="H1079" s="18">
        <v>39174000</v>
      </c>
      <c r="I1079" s="17">
        <v>0.18</v>
      </c>
      <c r="J1079" s="18" t="s">
        <v>2655</v>
      </c>
    </row>
    <row r="1080" spans="1:10" ht="13" x14ac:dyDescent="0.3">
      <c r="A1080" s="34" t="s">
        <v>1166</v>
      </c>
      <c r="B1080" s="23" t="s">
        <v>1964</v>
      </c>
      <c r="C1080" s="13" t="s">
        <v>776</v>
      </c>
      <c r="D1080" s="18">
        <v>10</v>
      </c>
      <c r="E1080" s="15">
        <v>216</v>
      </c>
      <c r="F1080" s="23" t="s">
        <v>1157</v>
      </c>
      <c r="G1080" s="18" t="s">
        <v>1111</v>
      </c>
      <c r="H1080" s="18">
        <v>39174000</v>
      </c>
      <c r="I1080" s="17">
        <v>0.18</v>
      </c>
      <c r="J1080" s="18" t="s">
        <v>2655</v>
      </c>
    </row>
    <row r="1081" spans="1:10" ht="13" x14ac:dyDescent="0.3">
      <c r="A1081" s="34" t="s">
        <v>1167</v>
      </c>
      <c r="B1081" s="23" t="s">
        <v>1965</v>
      </c>
      <c r="C1081" s="13" t="s">
        <v>876</v>
      </c>
      <c r="D1081" s="18">
        <v>10</v>
      </c>
      <c r="E1081" s="15">
        <v>271</v>
      </c>
      <c r="F1081" s="23" t="s">
        <v>1157</v>
      </c>
      <c r="G1081" s="18" t="s">
        <v>1111</v>
      </c>
      <c r="H1081" s="18">
        <v>39174000</v>
      </c>
      <c r="I1081" s="17">
        <v>0.18</v>
      </c>
      <c r="J1081" s="18" t="s">
        <v>2655</v>
      </c>
    </row>
    <row r="1082" spans="1:10" ht="13" x14ac:dyDescent="0.3">
      <c r="A1082" s="34" t="s">
        <v>1168</v>
      </c>
      <c r="B1082" s="23" t="s">
        <v>1966</v>
      </c>
      <c r="C1082" s="13" t="s">
        <v>777</v>
      </c>
      <c r="D1082" s="18">
        <v>5</v>
      </c>
      <c r="E1082" s="15">
        <v>326</v>
      </c>
      <c r="F1082" s="23" t="s">
        <v>1157</v>
      </c>
      <c r="G1082" s="18" t="s">
        <v>1111</v>
      </c>
      <c r="H1082" s="18">
        <v>39174000</v>
      </c>
      <c r="I1082" s="17">
        <v>0.18</v>
      </c>
      <c r="J1082" s="18" t="s">
        <v>2655</v>
      </c>
    </row>
    <row r="1083" spans="1:10" ht="13" x14ac:dyDescent="0.3">
      <c r="A1083" s="34" t="s">
        <v>1169</v>
      </c>
      <c r="B1083" s="23" t="s">
        <v>1967</v>
      </c>
      <c r="C1083" s="13" t="s">
        <v>1170</v>
      </c>
      <c r="D1083" s="18">
        <v>5</v>
      </c>
      <c r="E1083" s="15">
        <v>369</v>
      </c>
      <c r="F1083" s="23" t="s">
        <v>1157</v>
      </c>
      <c r="G1083" s="18" t="s">
        <v>1111</v>
      </c>
      <c r="H1083" s="18">
        <v>39174000</v>
      </c>
      <c r="I1083" s="17">
        <v>0.18</v>
      </c>
      <c r="J1083" s="18" t="s">
        <v>2655</v>
      </c>
    </row>
    <row r="1084" spans="1:10" ht="13" x14ac:dyDescent="0.3">
      <c r="A1084" s="34" t="s">
        <v>1171</v>
      </c>
      <c r="B1084" s="23" t="s">
        <v>1968</v>
      </c>
      <c r="C1084" s="13" t="s">
        <v>880</v>
      </c>
      <c r="D1084" s="18">
        <v>5</v>
      </c>
      <c r="E1084" s="15">
        <v>512</v>
      </c>
      <c r="F1084" s="23" t="s">
        <v>1157</v>
      </c>
      <c r="G1084" s="18" t="s">
        <v>1111</v>
      </c>
      <c r="H1084" s="18">
        <v>39174000</v>
      </c>
      <c r="I1084" s="17">
        <v>0.18</v>
      </c>
      <c r="J1084" s="18" t="s">
        <v>2655</v>
      </c>
    </row>
    <row r="1085" spans="1:10" ht="13" x14ac:dyDescent="0.3">
      <c r="A1085" s="34" t="s">
        <v>1172</v>
      </c>
      <c r="B1085" s="23" t="s">
        <v>1969</v>
      </c>
      <c r="C1085" s="13" t="s">
        <v>882</v>
      </c>
      <c r="D1085" s="18">
        <v>4</v>
      </c>
      <c r="E1085" s="15">
        <v>773</v>
      </c>
      <c r="F1085" s="23" t="s">
        <v>1157</v>
      </c>
      <c r="G1085" s="18" t="s">
        <v>1111</v>
      </c>
      <c r="H1085" s="18">
        <v>39174000</v>
      </c>
      <c r="I1085" s="17">
        <v>0.18</v>
      </c>
      <c r="J1085" s="18" t="s">
        <v>2655</v>
      </c>
    </row>
    <row r="1086" spans="1:10" ht="13" x14ac:dyDescent="0.3">
      <c r="A1086" s="34" t="s">
        <v>1173</v>
      </c>
      <c r="B1086" s="23" t="s">
        <v>1970</v>
      </c>
      <c r="C1086" s="13" t="s">
        <v>779</v>
      </c>
      <c r="D1086" s="18">
        <v>4</v>
      </c>
      <c r="E1086" s="15">
        <v>597</v>
      </c>
      <c r="F1086" s="23" t="s">
        <v>1157</v>
      </c>
      <c r="G1086" s="18" t="s">
        <v>1111</v>
      </c>
      <c r="H1086" s="18">
        <v>39174000</v>
      </c>
      <c r="I1086" s="17">
        <v>0.18</v>
      </c>
      <c r="J1086" s="18" t="s">
        <v>2655</v>
      </c>
    </row>
    <row r="1087" spans="1:10" ht="13" x14ac:dyDescent="0.3">
      <c r="A1087" s="34" t="s">
        <v>1174</v>
      </c>
      <c r="B1087" s="23" t="s">
        <v>1971</v>
      </c>
      <c r="C1087" s="13" t="s">
        <v>780</v>
      </c>
      <c r="D1087" s="18">
        <v>4</v>
      </c>
      <c r="E1087" s="15">
        <v>733</v>
      </c>
      <c r="F1087" s="23" t="s">
        <v>1157</v>
      </c>
      <c r="G1087" s="18" t="s">
        <v>1111</v>
      </c>
      <c r="H1087" s="18">
        <v>39174000</v>
      </c>
      <c r="I1087" s="17">
        <v>0.18</v>
      </c>
      <c r="J1087" s="18" t="s">
        <v>2655</v>
      </c>
    </row>
    <row r="1088" spans="1:10" ht="13" x14ac:dyDescent="0.3">
      <c r="A1088" s="34" t="s">
        <v>1175</v>
      </c>
      <c r="B1088" s="23" t="s">
        <v>1972</v>
      </c>
      <c r="C1088" s="13" t="s">
        <v>886</v>
      </c>
      <c r="D1088" s="18">
        <v>2</v>
      </c>
      <c r="E1088" s="15">
        <v>913</v>
      </c>
      <c r="F1088" s="23" t="s">
        <v>1157</v>
      </c>
      <c r="G1088" s="18" t="s">
        <v>1111</v>
      </c>
      <c r="H1088" s="18">
        <v>39174000</v>
      </c>
      <c r="I1088" s="17">
        <v>0.18</v>
      </c>
      <c r="J1088" s="18" t="s">
        <v>2655</v>
      </c>
    </row>
    <row r="1089" spans="1:10" ht="13" x14ac:dyDescent="0.3">
      <c r="A1089" s="34" t="s">
        <v>1176</v>
      </c>
      <c r="B1089" s="23" t="s">
        <v>1973</v>
      </c>
      <c r="C1089" s="13" t="s">
        <v>888</v>
      </c>
      <c r="D1089" s="18">
        <v>2</v>
      </c>
      <c r="E1089" s="15">
        <v>1009</v>
      </c>
      <c r="F1089" s="23" t="s">
        <v>1157</v>
      </c>
      <c r="G1089" s="18" t="s">
        <v>1111</v>
      </c>
      <c r="H1089" s="18">
        <v>39174000</v>
      </c>
      <c r="I1089" s="17">
        <v>0.18</v>
      </c>
      <c r="J1089" s="18" t="s">
        <v>2655</v>
      </c>
    </row>
    <row r="1090" spans="1:10" ht="13" x14ac:dyDescent="0.3">
      <c r="A1090" s="34" t="s">
        <v>1177</v>
      </c>
      <c r="B1090" s="23" t="s">
        <v>1974</v>
      </c>
      <c r="C1090" s="13" t="s">
        <v>781</v>
      </c>
      <c r="D1090" s="18">
        <v>2</v>
      </c>
      <c r="E1090" s="15">
        <v>1222</v>
      </c>
      <c r="F1090" s="23" t="s">
        <v>1157</v>
      </c>
      <c r="G1090" s="18" t="s">
        <v>1111</v>
      </c>
      <c r="H1090" s="18">
        <v>39174000</v>
      </c>
      <c r="I1090" s="17">
        <v>0.18</v>
      </c>
      <c r="J1090" s="18" t="s">
        <v>2655</v>
      </c>
    </row>
    <row r="1091" spans="1:10" ht="13" x14ac:dyDescent="0.3">
      <c r="A1091" s="34" t="s">
        <v>1178</v>
      </c>
      <c r="B1091" s="23" t="s">
        <v>1975</v>
      </c>
      <c r="C1091" s="13" t="s">
        <v>891</v>
      </c>
      <c r="D1091" s="18">
        <v>2</v>
      </c>
      <c r="E1091" s="15">
        <v>1936</v>
      </c>
      <c r="F1091" s="23" t="s">
        <v>1157</v>
      </c>
      <c r="G1091" s="18" t="s">
        <v>1111</v>
      </c>
      <c r="H1091" s="18">
        <v>39174000</v>
      </c>
      <c r="I1091" s="17">
        <v>0.18</v>
      </c>
      <c r="J1091" s="18" t="s">
        <v>2655</v>
      </c>
    </row>
    <row r="1092" spans="1:10" ht="13" x14ac:dyDescent="0.3">
      <c r="A1092" s="34" t="s">
        <v>1179</v>
      </c>
      <c r="B1092" s="23" t="s">
        <v>1976</v>
      </c>
      <c r="C1092" s="13" t="s">
        <v>893</v>
      </c>
      <c r="D1092" s="18">
        <v>1</v>
      </c>
      <c r="E1092" s="15">
        <v>3145</v>
      </c>
      <c r="F1092" s="23" t="s">
        <v>1157</v>
      </c>
      <c r="G1092" s="18" t="s">
        <v>1111</v>
      </c>
      <c r="H1092" s="18">
        <v>39174000</v>
      </c>
      <c r="I1092" s="17">
        <v>0.18</v>
      </c>
      <c r="J1092" s="18" t="s">
        <v>2655</v>
      </c>
    </row>
    <row r="1093" spans="1:10" ht="13" x14ac:dyDescent="0.3">
      <c r="A1093" s="34" t="s">
        <v>1180</v>
      </c>
      <c r="B1093" s="23" t="s">
        <v>1977</v>
      </c>
      <c r="C1093" s="13" t="s">
        <v>895</v>
      </c>
      <c r="D1093" s="18">
        <v>1</v>
      </c>
      <c r="E1093" s="15">
        <v>5756</v>
      </c>
      <c r="F1093" s="23" t="s">
        <v>1157</v>
      </c>
      <c r="G1093" s="18" t="s">
        <v>1111</v>
      </c>
      <c r="H1093" s="18">
        <v>39174000</v>
      </c>
      <c r="I1093" s="17">
        <v>0.18</v>
      </c>
      <c r="J1093" s="18" t="s">
        <v>2655</v>
      </c>
    </row>
    <row r="1094" spans="1:10" ht="13" x14ac:dyDescent="0.3">
      <c r="A1094" s="34" t="s">
        <v>1187</v>
      </c>
      <c r="B1094" s="23" t="s">
        <v>1978</v>
      </c>
      <c r="C1094" s="13" t="s">
        <v>721</v>
      </c>
      <c r="D1094" s="18">
        <v>1</v>
      </c>
      <c r="E1094" s="15">
        <v>322</v>
      </c>
      <c r="F1094" s="23" t="s">
        <v>2047</v>
      </c>
      <c r="G1094" s="18" t="s">
        <v>1111</v>
      </c>
      <c r="H1094" s="18">
        <v>39174000</v>
      </c>
      <c r="I1094" s="17">
        <v>0.18</v>
      </c>
      <c r="J1094" s="18" t="s">
        <v>2655</v>
      </c>
    </row>
    <row r="1095" spans="1:10" ht="13" x14ac:dyDescent="0.3">
      <c r="A1095" s="34" t="s">
        <v>1188</v>
      </c>
      <c r="B1095" s="23" t="s">
        <v>1979</v>
      </c>
      <c r="C1095" s="13" t="s">
        <v>724</v>
      </c>
      <c r="D1095" s="18">
        <v>1</v>
      </c>
      <c r="E1095" s="15">
        <v>393</v>
      </c>
      <c r="F1095" s="23" t="s">
        <v>2047</v>
      </c>
      <c r="G1095" s="18" t="s">
        <v>1111</v>
      </c>
      <c r="H1095" s="18">
        <v>39174000</v>
      </c>
      <c r="I1095" s="17">
        <v>0.18</v>
      </c>
      <c r="J1095" s="18" t="s">
        <v>2655</v>
      </c>
    </row>
    <row r="1096" spans="1:10" ht="13" x14ac:dyDescent="0.3">
      <c r="A1096" s="34" t="s">
        <v>1189</v>
      </c>
      <c r="B1096" s="23" t="s">
        <v>1980</v>
      </c>
      <c r="C1096" s="13" t="s">
        <v>723</v>
      </c>
      <c r="D1096" s="18">
        <v>1</v>
      </c>
      <c r="E1096" s="15">
        <v>333</v>
      </c>
      <c r="F1096" s="23" t="s">
        <v>2047</v>
      </c>
      <c r="G1096" s="18" t="s">
        <v>1111</v>
      </c>
      <c r="H1096" s="18">
        <v>39174000</v>
      </c>
      <c r="I1096" s="17">
        <v>0.18</v>
      </c>
      <c r="J1096" s="18" t="s">
        <v>2655</v>
      </c>
    </row>
    <row r="1097" spans="1:10" ht="13" x14ac:dyDescent="0.3">
      <c r="A1097" s="34" t="s">
        <v>1190</v>
      </c>
      <c r="B1097" s="23" t="s">
        <v>1981</v>
      </c>
      <c r="C1097" s="13" t="s">
        <v>726</v>
      </c>
      <c r="D1097" s="18">
        <v>1</v>
      </c>
      <c r="E1097" s="15">
        <v>740</v>
      </c>
      <c r="F1097" s="23" t="s">
        <v>2047</v>
      </c>
      <c r="G1097" s="18" t="s">
        <v>1111</v>
      </c>
      <c r="H1097" s="18">
        <v>39174000</v>
      </c>
      <c r="I1097" s="17">
        <v>0.18</v>
      </c>
      <c r="J1097" s="18" t="s">
        <v>2655</v>
      </c>
    </row>
    <row r="1098" spans="1:10" ht="13" x14ac:dyDescent="0.3">
      <c r="A1098" s="34" t="s">
        <v>1191</v>
      </c>
      <c r="B1098" s="23" t="s">
        <v>1982</v>
      </c>
      <c r="C1098" s="13" t="s">
        <v>725</v>
      </c>
      <c r="D1098" s="18">
        <v>10</v>
      </c>
      <c r="E1098" s="15">
        <v>441</v>
      </c>
      <c r="F1098" s="23" t="s">
        <v>2047</v>
      </c>
      <c r="G1098" s="18" t="s">
        <v>1111</v>
      </c>
      <c r="H1098" s="18">
        <v>39174000</v>
      </c>
      <c r="I1098" s="17">
        <v>0.18</v>
      </c>
      <c r="J1098" s="18" t="s">
        <v>2655</v>
      </c>
    </row>
    <row r="1099" spans="1:10" ht="13" x14ac:dyDescent="0.3">
      <c r="A1099" s="34" t="s">
        <v>1181</v>
      </c>
      <c r="B1099" s="23" t="s">
        <v>1983</v>
      </c>
      <c r="C1099" s="13" t="s">
        <v>721</v>
      </c>
      <c r="D1099" s="18">
        <v>10</v>
      </c>
      <c r="E1099" s="15">
        <v>407</v>
      </c>
      <c r="F1099" s="23" t="s">
        <v>1182</v>
      </c>
      <c r="G1099" s="18" t="s">
        <v>1111</v>
      </c>
      <c r="H1099" s="18">
        <v>39174000</v>
      </c>
      <c r="I1099" s="17">
        <v>0.18</v>
      </c>
      <c r="J1099" s="18" t="s">
        <v>2655</v>
      </c>
    </row>
    <row r="1100" spans="1:10" ht="13" x14ac:dyDescent="0.3">
      <c r="A1100" s="34" t="s">
        <v>1183</v>
      </c>
      <c r="B1100" s="23" t="s">
        <v>1984</v>
      </c>
      <c r="C1100" s="13" t="s">
        <v>724</v>
      </c>
      <c r="D1100" s="18">
        <v>10</v>
      </c>
      <c r="E1100" s="15">
        <v>619</v>
      </c>
      <c r="F1100" s="23" t="s">
        <v>1182</v>
      </c>
      <c r="G1100" s="18" t="s">
        <v>1111</v>
      </c>
      <c r="H1100" s="18">
        <v>39174000</v>
      </c>
      <c r="I1100" s="17">
        <v>0.18</v>
      </c>
      <c r="J1100" s="18" t="s">
        <v>2655</v>
      </c>
    </row>
    <row r="1101" spans="1:10" ht="13" x14ac:dyDescent="0.3">
      <c r="A1101" s="34" t="s">
        <v>1184</v>
      </c>
      <c r="B1101" s="23" t="s">
        <v>1985</v>
      </c>
      <c r="C1101" s="13" t="s">
        <v>723</v>
      </c>
      <c r="D1101" s="18">
        <v>5</v>
      </c>
      <c r="E1101" s="15">
        <v>418</v>
      </c>
      <c r="F1101" s="23" t="s">
        <v>1182</v>
      </c>
      <c r="G1101" s="18" t="s">
        <v>1111</v>
      </c>
      <c r="H1101" s="18">
        <v>39174000</v>
      </c>
      <c r="I1101" s="17">
        <v>0.18</v>
      </c>
      <c r="J1101" s="18" t="s">
        <v>2655</v>
      </c>
    </row>
    <row r="1102" spans="1:10" ht="13" x14ac:dyDescent="0.3">
      <c r="A1102" s="34" t="s">
        <v>1185</v>
      </c>
      <c r="B1102" s="23" t="s">
        <v>1986</v>
      </c>
      <c r="C1102" s="13" t="s">
        <v>726</v>
      </c>
      <c r="D1102" s="18">
        <v>5</v>
      </c>
      <c r="E1102" s="15">
        <v>879</v>
      </c>
      <c r="F1102" s="23" t="s">
        <v>1182</v>
      </c>
      <c r="G1102" s="18" t="s">
        <v>1111</v>
      </c>
      <c r="H1102" s="18">
        <v>39174000</v>
      </c>
      <c r="I1102" s="17">
        <v>0.18</v>
      </c>
      <c r="J1102" s="18" t="s">
        <v>2655</v>
      </c>
    </row>
    <row r="1103" spans="1:10" ht="13" x14ac:dyDescent="0.3">
      <c r="A1103" s="34" t="s">
        <v>1186</v>
      </c>
      <c r="B1103" s="23" t="s">
        <v>1987</v>
      </c>
      <c r="C1103" s="13" t="s">
        <v>725</v>
      </c>
      <c r="D1103" s="18">
        <v>20</v>
      </c>
      <c r="E1103" s="15">
        <v>701</v>
      </c>
      <c r="F1103" s="23" t="s">
        <v>1182</v>
      </c>
      <c r="G1103" s="18" t="s">
        <v>1111</v>
      </c>
      <c r="H1103" s="18">
        <v>39174000</v>
      </c>
      <c r="I1103" s="17">
        <v>0.18</v>
      </c>
      <c r="J1103" s="18" t="s">
        <v>2655</v>
      </c>
    </row>
    <row r="1104" spans="1:10" ht="13" x14ac:dyDescent="0.3">
      <c r="A1104" s="34" t="s">
        <v>1192</v>
      </c>
      <c r="B1104" s="23" t="s">
        <v>2383</v>
      </c>
      <c r="C1104" s="13">
        <v>20</v>
      </c>
      <c r="D1104" s="18">
        <v>10</v>
      </c>
      <c r="E1104" s="15">
        <v>29</v>
      </c>
      <c r="F1104" s="23" t="s">
        <v>1193</v>
      </c>
      <c r="G1104" s="18" t="s">
        <v>1111</v>
      </c>
      <c r="H1104" s="18">
        <v>39174000</v>
      </c>
      <c r="I1104" s="17">
        <v>0.18</v>
      </c>
      <c r="J1104" s="18" t="s">
        <v>2655</v>
      </c>
    </row>
    <row r="1105" spans="1:10" ht="13" x14ac:dyDescent="0.3">
      <c r="A1105" s="34" t="s">
        <v>1194</v>
      </c>
      <c r="B1105" s="23" t="s">
        <v>2384</v>
      </c>
      <c r="C1105" s="13">
        <v>25</v>
      </c>
      <c r="D1105" s="18">
        <v>10</v>
      </c>
      <c r="E1105" s="15">
        <v>40</v>
      </c>
      <c r="F1105" s="23" t="s">
        <v>1193</v>
      </c>
      <c r="G1105" s="18" t="s">
        <v>1111</v>
      </c>
      <c r="H1105" s="18">
        <v>39174000</v>
      </c>
      <c r="I1105" s="17">
        <v>0.18</v>
      </c>
      <c r="J1105" s="18" t="s">
        <v>2655</v>
      </c>
    </row>
    <row r="1106" spans="1:10" ht="13" x14ac:dyDescent="0.3">
      <c r="A1106" s="34" t="s">
        <v>1195</v>
      </c>
      <c r="B1106" s="23" t="s">
        <v>2385</v>
      </c>
      <c r="C1106" s="13">
        <v>32</v>
      </c>
      <c r="D1106" s="18">
        <v>5</v>
      </c>
      <c r="E1106" s="15">
        <v>68</v>
      </c>
      <c r="F1106" s="23" t="s">
        <v>1193</v>
      </c>
      <c r="G1106" s="18" t="s">
        <v>1111</v>
      </c>
      <c r="H1106" s="18">
        <v>39174000</v>
      </c>
      <c r="I1106" s="17">
        <v>0.18</v>
      </c>
      <c r="J1106" s="18" t="s">
        <v>2655</v>
      </c>
    </row>
    <row r="1107" spans="1:10" ht="13" x14ac:dyDescent="0.3">
      <c r="A1107" s="34" t="s">
        <v>1196</v>
      </c>
      <c r="B1107" s="23" t="s">
        <v>2386</v>
      </c>
      <c r="C1107" s="13">
        <v>40</v>
      </c>
      <c r="D1107" s="18">
        <v>5</v>
      </c>
      <c r="E1107" s="15">
        <v>118</v>
      </c>
      <c r="F1107" s="23" t="s">
        <v>1193</v>
      </c>
      <c r="G1107" s="18" t="s">
        <v>1111</v>
      </c>
      <c r="H1107" s="18">
        <v>39174000</v>
      </c>
      <c r="I1107" s="17">
        <v>0.18</v>
      </c>
      <c r="J1107" s="18" t="s">
        <v>2655</v>
      </c>
    </row>
    <row r="1108" spans="1:10" ht="13" x14ac:dyDescent="0.3">
      <c r="A1108" s="34" t="s">
        <v>1197</v>
      </c>
      <c r="B1108" s="23" t="s">
        <v>2387</v>
      </c>
      <c r="C1108" s="13">
        <v>50</v>
      </c>
      <c r="D1108" s="18">
        <v>50</v>
      </c>
      <c r="E1108" s="15">
        <v>283</v>
      </c>
      <c r="F1108" s="23" t="s">
        <v>1193</v>
      </c>
      <c r="G1108" s="18" t="s">
        <v>1111</v>
      </c>
      <c r="H1108" s="18">
        <v>39174000</v>
      </c>
      <c r="I1108" s="17">
        <v>0.18</v>
      </c>
      <c r="J1108" s="18" t="s">
        <v>2655</v>
      </c>
    </row>
    <row r="1109" spans="1:10" ht="13" x14ac:dyDescent="0.3">
      <c r="A1109" s="34" t="s">
        <v>1198</v>
      </c>
      <c r="B1109" s="23" t="s">
        <v>2388</v>
      </c>
      <c r="C1109" s="13">
        <v>63</v>
      </c>
      <c r="D1109" s="18">
        <v>40</v>
      </c>
      <c r="E1109" s="15">
        <v>359</v>
      </c>
      <c r="F1109" s="23" t="s">
        <v>1193</v>
      </c>
      <c r="G1109" s="18" t="s">
        <v>1111</v>
      </c>
      <c r="H1109" s="18">
        <v>39174000</v>
      </c>
      <c r="I1109" s="17">
        <v>0.18</v>
      </c>
      <c r="J1109" s="18" t="s">
        <v>2655</v>
      </c>
    </row>
    <row r="1110" spans="1:10" ht="13" x14ac:dyDescent="0.3">
      <c r="A1110" s="34" t="s">
        <v>1199</v>
      </c>
      <c r="B1110" s="23" t="s">
        <v>2389</v>
      </c>
      <c r="C1110" s="13">
        <v>75</v>
      </c>
      <c r="D1110" s="18">
        <v>20</v>
      </c>
      <c r="E1110" s="15">
        <v>867</v>
      </c>
      <c r="F1110" s="23" t="s">
        <v>1193</v>
      </c>
      <c r="G1110" s="18" t="s">
        <v>1111</v>
      </c>
      <c r="H1110" s="18">
        <v>39174000</v>
      </c>
      <c r="I1110" s="17">
        <v>0.18</v>
      </c>
      <c r="J1110" s="18" t="s">
        <v>2655</v>
      </c>
    </row>
    <row r="1111" spans="1:10" ht="13" x14ac:dyDescent="0.3">
      <c r="A1111" s="34" t="s">
        <v>1200</v>
      </c>
      <c r="B1111" s="23" t="s">
        <v>2390</v>
      </c>
      <c r="C1111" s="13">
        <v>90</v>
      </c>
      <c r="D1111" s="18">
        <v>10</v>
      </c>
      <c r="E1111" s="15">
        <v>1253</v>
      </c>
      <c r="F1111" s="23" t="s">
        <v>1193</v>
      </c>
      <c r="G1111" s="18" t="s">
        <v>1111</v>
      </c>
      <c r="H1111" s="18">
        <v>39174000</v>
      </c>
      <c r="I1111" s="17">
        <v>0.18</v>
      </c>
      <c r="J1111" s="18" t="s">
        <v>2655</v>
      </c>
    </row>
    <row r="1112" spans="1:10" ht="13" x14ac:dyDescent="0.3">
      <c r="A1112" s="34" t="s">
        <v>1201</v>
      </c>
      <c r="B1112" s="23" t="s">
        <v>2391</v>
      </c>
      <c r="C1112" s="13">
        <v>110</v>
      </c>
      <c r="D1112" s="18">
        <v>5</v>
      </c>
      <c r="E1112" s="15">
        <v>2155</v>
      </c>
      <c r="F1112" s="23" t="s">
        <v>1193</v>
      </c>
      <c r="G1112" s="18" t="s">
        <v>1111</v>
      </c>
      <c r="H1112" s="18">
        <v>39174000</v>
      </c>
      <c r="I1112" s="17">
        <v>0.18</v>
      </c>
      <c r="J1112" s="18" t="s">
        <v>2655</v>
      </c>
    </row>
    <row r="1113" spans="1:10" ht="13" x14ac:dyDescent="0.3">
      <c r="A1113" s="34" t="s">
        <v>1202</v>
      </c>
      <c r="B1113" s="23" t="s">
        <v>2392</v>
      </c>
      <c r="C1113" s="13">
        <v>125</v>
      </c>
      <c r="D1113" s="18">
        <v>4</v>
      </c>
      <c r="E1113" s="15">
        <v>1756</v>
      </c>
      <c r="F1113" s="23" t="s">
        <v>1193</v>
      </c>
      <c r="G1113" s="18" t="s">
        <v>1111</v>
      </c>
      <c r="H1113" s="18">
        <v>39174000</v>
      </c>
      <c r="I1113" s="17">
        <v>0.18</v>
      </c>
      <c r="J1113" s="18" t="s">
        <v>2655</v>
      </c>
    </row>
    <row r="1114" spans="1:10" ht="13" x14ac:dyDescent="0.3">
      <c r="A1114" s="34" t="s">
        <v>1203</v>
      </c>
      <c r="B1114" s="23" t="s">
        <v>2393</v>
      </c>
      <c r="C1114" s="13" t="s">
        <v>738</v>
      </c>
      <c r="D1114" s="18">
        <v>2</v>
      </c>
      <c r="E1114" s="15">
        <v>37</v>
      </c>
      <c r="F1114" s="23" t="s">
        <v>1204</v>
      </c>
      <c r="G1114" s="18" t="s">
        <v>1111</v>
      </c>
      <c r="H1114" s="18">
        <v>39174000</v>
      </c>
      <c r="I1114" s="17">
        <v>0.18</v>
      </c>
      <c r="J1114" s="18" t="s">
        <v>2655</v>
      </c>
    </row>
    <row r="1115" spans="1:10" ht="13" x14ac:dyDescent="0.3">
      <c r="A1115" s="34" t="s">
        <v>1205</v>
      </c>
      <c r="B1115" s="23" t="s">
        <v>2394</v>
      </c>
      <c r="C1115" s="13" t="s">
        <v>739</v>
      </c>
      <c r="D1115" s="18">
        <v>1</v>
      </c>
      <c r="E1115" s="15">
        <v>46</v>
      </c>
      <c r="F1115" s="23" t="s">
        <v>1204</v>
      </c>
      <c r="G1115" s="18" t="s">
        <v>1111</v>
      </c>
      <c r="H1115" s="18">
        <v>39174000</v>
      </c>
      <c r="I1115" s="17">
        <v>0.18</v>
      </c>
      <c r="J1115" s="18" t="s">
        <v>2655</v>
      </c>
    </row>
    <row r="1116" spans="1:10" ht="13" x14ac:dyDescent="0.3">
      <c r="A1116" s="34" t="s">
        <v>1206</v>
      </c>
      <c r="B1116" s="23" t="s">
        <v>2395</v>
      </c>
      <c r="C1116" s="13" t="s">
        <v>740</v>
      </c>
      <c r="D1116" s="18">
        <v>1</v>
      </c>
      <c r="E1116" s="15">
        <v>43</v>
      </c>
      <c r="F1116" s="23" t="s">
        <v>1204</v>
      </c>
      <c r="G1116" s="18" t="s">
        <v>1111</v>
      </c>
      <c r="H1116" s="18">
        <v>39174000</v>
      </c>
      <c r="I1116" s="17">
        <v>0.18</v>
      </c>
      <c r="J1116" s="18" t="s">
        <v>2655</v>
      </c>
    </row>
    <row r="1117" spans="1:10" ht="13" x14ac:dyDescent="0.3">
      <c r="A1117" s="34" t="s">
        <v>1207</v>
      </c>
      <c r="B1117" s="23" t="s">
        <v>2396</v>
      </c>
      <c r="C1117" s="13" t="s">
        <v>921</v>
      </c>
      <c r="D1117" s="18">
        <v>1</v>
      </c>
      <c r="E1117" s="15">
        <v>117</v>
      </c>
      <c r="F1117" s="23" t="s">
        <v>1204</v>
      </c>
      <c r="G1117" s="18" t="s">
        <v>1111</v>
      </c>
      <c r="H1117" s="18">
        <v>39174000</v>
      </c>
      <c r="I1117" s="17">
        <v>0.18</v>
      </c>
      <c r="J1117" s="18" t="s">
        <v>2655</v>
      </c>
    </row>
    <row r="1118" spans="1:10" ht="13" x14ac:dyDescent="0.3">
      <c r="A1118" s="34" t="s">
        <v>1208</v>
      </c>
      <c r="B1118" s="23" t="s">
        <v>2397</v>
      </c>
      <c r="C1118" s="13" t="s">
        <v>741</v>
      </c>
      <c r="D1118" s="18">
        <v>50</v>
      </c>
      <c r="E1118" s="15">
        <v>118</v>
      </c>
      <c r="F1118" s="23" t="s">
        <v>1204</v>
      </c>
      <c r="G1118" s="18" t="s">
        <v>1111</v>
      </c>
      <c r="H1118" s="18">
        <v>39174000</v>
      </c>
      <c r="I1118" s="17">
        <v>0.18</v>
      </c>
      <c r="J1118" s="18" t="s">
        <v>2655</v>
      </c>
    </row>
    <row r="1119" spans="1:10" ht="13" x14ac:dyDescent="0.3">
      <c r="A1119" s="34" t="s">
        <v>1209</v>
      </c>
      <c r="B1119" s="23" t="s">
        <v>2398</v>
      </c>
      <c r="C1119" s="13" t="s">
        <v>105</v>
      </c>
      <c r="D1119" s="18">
        <v>30</v>
      </c>
      <c r="E1119" s="15">
        <v>136</v>
      </c>
      <c r="F1119" s="23" t="s">
        <v>1204</v>
      </c>
      <c r="G1119" s="18" t="s">
        <v>1111</v>
      </c>
      <c r="H1119" s="18">
        <v>39174000</v>
      </c>
      <c r="I1119" s="17">
        <v>0.18</v>
      </c>
      <c r="J1119" s="18" t="s">
        <v>2655</v>
      </c>
    </row>
    <row r="1120" spans="1:10" ht="13" x14ac:dyDescent="0.3">
      <c r="A1120" s="34" t="s">
        <v>1210</v>
      </c>
      <c r="B1120" s="23" t="s">
        <v>2399</v>
      </c>
      <c r="C1120" s="13" t="s">
        <v>925</v>
      </c>
      <c r="D1120" s="18">
        <v>30</v>
      </c>
      <c r="E1120" s="15">
        <v>154</v>
      </c>
      <c r="F1120" s="23" t="s">
        <v>1204</v>
      </c>
      <c r="G1120" s="18" t="s">
        <v>1111</v>
      </c>
      <c r="H1120" s="18">
        <v>39174000</v>
      </c>
      <c r="I1120" s="17">
        <v>0.18</v>
      </c>
      <c r="J1120" s="18" t="s">
        <v>2655</v>
      </c>
    </row>
    <row r="1121" spans="1:10" ht="13" x14ac:dyDescent="0.3">
      <c r="A1121" s="34" t="s">
        <v>1211</v>
      </c>
      <c r="B1121" s="23" t="s">
        <v>2400</v>
      </c>
      <c r="C1121" s="13" t="s">
        <v>927</v>
      </c>
      <c r="D1121" s="18">
        <v>20</v>
      </c>
      <c r="E1121" s="15">
        <v>161</v>
      </c>
      <c r="F1121" s="23" t="s">
        <v>1204</v>
      </c>
      <c r="G1121" s="18" t="s">
        <v>1111</v>
      </c>
      <c r="H1121" s="18">
        <v>39174000</v>
      </c>
      <c r="I1121" s="17">
        <v>0.18</v>
      </c>
      <c r="J1121" s="18" t="s">
        <v>2655</v>
      </c>
    </row>
    <row r="1122" spans="1:10" ht="13" x14ac:dyDescent="0.3">
      <c r="A1122" s="34" t="s">
        <v>1212</v>
      </c>
      <c r="B1122" s="23" t="s">
        <v>2401</v>
      </c>
      <c r="C1122" s="13" t="s">
        <v>106</v>
      </c>
      <c r="D1122" s="18">
        <v>20</v>
      </c>
      <c r="E1122" s="15">
        <v>249</v>
      </c>
      <c r="F1122" s="23" t="s">
        <v>1204</v>
      </c>
      <c r="G1122" s="18" t="s">
        <v>1111</v>
      </c>
      <c r="H1122" s="18">
        <v>39174000</v>
      </c>
      <c r="I1122" s="17">
        <v>0.18</v>
      </c>
      <c r="J1122" s="18" t="s">
        <v>2655</v>
      </c>
    </row>
    <row r="1123" spans="1:10" ht="13" x14ac:dyDescent="0.3">
      <c r="A1123" s="34" t="s">
        <v>1213</v>
      </c>
      <c r="B1123" s="23" t="s">
        <v>2402</v>
      </c>
      <c r="C1123" s="13" t="s">
        <v>73</v>
      </c>
      <c r="D1123" s="18">
        <v>20</v>
      </c>
      <c r="E1123" s="15">
        <v>256</v>
      </c>
      <c r="F1123" s="23" t="s">
        <v>1204</v>
      </c>
      <c r="G1123" s="18" t="s">
        <v>1111</v>
      </c>
      <c r="H1123" s="18">
        <v>39174000</v>
      </c>
      <c r="I1123" s="17">
        <v>0.18</v>
      </c>
      <c r="J1123" s="18" t="s">
        <v>2655</v>
      </c>
    </row>
    <row r="1124" spans="1:10" ht="13" x14ac:dyDescent="0.3">
      <c r="A1124" s="34" t="s">
        <v>1214</v>
      </c>
      <c r="B1124" s="23" t="s">
        <v>2403</v>
      </c>
      <c r="C1124" s="13" t="s">
        <v>931</v>
      </c>
      <c r="D1124" s="18">
        <v>10</v>
      </c>
      <c r="E1124" s="15">
        <v>153</v>
      </c>
      <c r="F1124" s="23" t="s">
        <v>1204</v>
      </c>
      <c r="G1124" s="18" t="s">
        <v>1111</v>
      </c>
      <c r="H1124" s="18">
        <v>39174000</v>
      </c>
      <c r="I1124" s="17">
        <v>0.18</v>
      </c>
      <c r="J1124" s="18" t="s">
        <v>2655</v>
      </c>
    </row>
    <row r="1125" spans="1:10" ht="13" x14ac:dyDescent="0.3">
      <c r="A1125" s="34" t="s">
        <v>1215</v>
      </c>
      <c r="B1125" s="23" t="s">
        <v>2404</v>
      </c>
      <c r="C1125" s="13" t="s">
        <v>933</v>
      </c>
      <c r="D1125" s="18">
        <v>10</v>
      </c>
      <c r="E1125" s="15">
        <v>299</v>
      </c>
      <c r="F1125" s="23" t="s">
        <v>1204</v>
      </c>
      <c r="G1125" s="18" t="s">
        <v>1111</v>
      </c>
      <c r="H1125" s="18">
        <v>39174000</v>
      </c>
      <c r="I1125" s="17">
        <v>0.18</v>
      </c>
      <c r="J1125" s="18" t="s">
        <v>2655</v>
      </c>
    </row>
    <row r="1126" spans="1:10" ht="13" x14ac:dyDescent="0.3">
      <c r="A1126" s="34" t="s">
        <v>1216</v>
      </c>
      <c r="B1126" s="23" t="s">
        <v>2405</v>
      </c>
      <c r="C1126" s="13" t="s">
        <v>742</v>
      </c>
      <c r="D1126" s="18">
        <v>10</v>
      </c>
      <c r="E1126" s="15">
        <v>304</v>
      </c>
      <c r="F1126" s="23" t="s">
        <v>1204</v>
      </c>
      <c r="G1126" s="18" t="s">
        <v>1111</v>
      </c>
      <c r="H1126" s="18">
        <v>39174000</v>
      </c>
      <c r="I1126" s="17">
        <v>0.18</v>
      </c>
      <c r="J1126" s="18" t="s">
        <v>2655</v>
      </c>
    </row>
    <row r="1127" spans="1:10" ht="13" x14ac:dyDescent="0.3">
      <c r="A1127" s="34" t="s">
        <v>1217</v>
      </c>
      <c r="B1127" s="23" t="s">
        <v>2406</v>
      </c>
      <c r="C1127" s="13" t="s">
        <v>743</v>
      </c>
      <c r="D1127" s="18">
        <v>10</v>
      </c>
      <c r="E1127" s="15">
        <v>584</v>
      </c>
      <c r="F1127" s="23" t="s">
        <v>1204</v>
      </c>
      <c r="G1127" s="18" t="s">
        <v>1111</v>
      </c>
      <c r="H1127" s="18">
        <v>39174000</v>
      </c>
      <c r="I1127" s="17">
        <v>0.18</v>
      </c>
      <c r="J1127" s="18" t="s">
        <v>2655</v>
      </c>
    </row>
    <row r="1128" spans="1:10" ht="13" x14ac:dyDescent="0.3">
      <c r="A1128" s="34" t="s">
        <v>1218</v>
      </c>
      <c r="B1128" s="23" t="s">
        <v>2407</v>
      </c>
      <c r="C1128" s="13" t="s">
        <v>76</v>
      </c>
      <c r="D1128" s="18">
        <v>5</v>
      </c>
      <c r="E1128" s="15">
        <v>640</v>
      </c>
      <c r="F1128" s="23" t="s">
        <v>1204</v>
      </c>
      <c r="G1128" s="18" t="s">
        <v>1111</v>
      </c>
      <c r="H1128" s="18">
        <v>39174000</v>
      </c>
      <c r="I1128" s="17">
        <v>0.18</v>
      </c>
      <c r="J1128" s="18" t="s">
        <v>2655</v>
      </c>
    </row>
    <row r="1129" spans="1:10" ht="13" x14ac:dyDescent="0.3">
      <c r="A1129" s="34" t="s">
        <v>1219</v>
      </c>
      <c r="B1129" s="23" t="s">
        <v>2408</v>
      </c>
      <c r="C1129" s="13" t="s">
        <v>744</v>
      </c>
      <c r="D1129" s="18">
        <v>5</v>
      </c>
      <c r="E1129" s="15">
        <v>716</v>
      </c>
      <c r="F1129" s="23" t="s">
        <v>1204</v>
      </c>
      <c r="G1129" s="18" t="s">
        <v>1111</v>
      </c>
      <c r="H1129" s="18">
        <v>39174000</v>
      </c>
      <c r="I1129" s="17">
        <v>0.18</v>
      </c>
      <c r="J1129" s="18" t="s">
        <v>2655</v>
      </c>
    </row>
    <row r="1130" spans="1:10" ht="13" x14ac:dyDescent="0.3">
      <c r="A1130" s="34" t="s">
        <v>1220</v>
      </c>
      <c r="B1130" s="23" t="s">
        <v>2409</v>
      </c>
      <c r="C1130" s="13" t="s">
        <v>939</v>
      </c>
      <c r="D1130" s="18">
        <v>5</v>
      </c>
      <c r="E1130" s="15">
        <v>786</v>
      </c>
      <c r="F1130" s="23" t="s">
        <v>1204</v>
      </c>
      <c r="G1130" s="18" t="s">
        <v>1111</v>
      </c>
      <c r="H1130" s="18">
        <v>39174000</v>
      </c>
      <c r="I1130" s="17">
        <v>0.18</v>
      </c>
      <c r="J1130" s="18" t="s">
        <v>2655</v>
      </c>
    </row>
    <row r="1131" spans="1:10" ht="13" x14ac:dyDescent="0.3">
      <c r="A1131" s="34" t="s">
        <v>1221</v>
      </c>
      <c r="B1131" s="23" t="s">
        <v>2410</v>
      </c>
      <c r="C1131" s="13" t="s">
        <v>941</v>
      </c>
      <c r="D1131" s="18">
        <v>5</v>
      </c>
      <c r="E1131" s="15">
        <v>1122</v>
      </c>
      <c r="F1131" s="23" t="s">
        <v>1204</v>
      </c>
      <c r="G1131" s="18" t="s">
        <v>1111</v>
      </c>
      <c r="H1131" s="18">
        <v>39174000</v>
      </c>
      <c r="I1131" s="17">
        <v>0.18</v>
      </c>
      <c r="J1131" s="18" t="s">
        <v>2655</v>
      </c>
    </row>
    <row r="1132" spans="1:10" ht="13" x14ac:dyDescent="0.3">
      <c r="A1132" s="34" t="s">
        <v>1222</v>
      </c>
      <c r="B1132" s="23" t="s">
        <v>2411</v>
      </c>
      <c r="C1132" s="13" t="s">
        <v>943</v>
      </c>
      <c r="D1132" s="18">
        <v>4</v>
      </c>
      <c r="E1132" s="15">
        <v>1180</v>
      </c>
      <c r="F1132" s="23" t="s">
        <v>1204</v>
      </c>
      <c r="G1132" s="18" t="s">
        <v>1111</v>
      </c>
      <c r="H1132" s="18">
        <v>39174000</v>
      </c>
      <c r="I1132" s="17">
        <v>0.18</v>
      </c>
      <c r="J1132" s="18" t="s">
        <v>2655</v>
      </c>
    </row>
    <row r="1133" spans="1:10" ht="13" x14ac:dyDescent="0.3">
      <c r="A1133" s="34" t="s">
        <v>1223</v>
      </c>
      <c r="B1133" s="23" t="s">
        <v>2412</v>
      </c>
      <c r="C1133" s="13" t="s">
        <v>80</v>
      </c>
      <c r="D1133" s="18">
        <v>4</v>
      </c>
      <c r="E1133" s="15">
        <v>1220</v>
      </c>
      <c r="F1133" s="23" t="s">
        <v>1204</v>
      </c>
      <c r="G1133" s="18" t="s">
        <v>1111</v>
      </c>
      <c r="H1133" s="18">
        <v>39174000</v>
      </c>
      <c r="I1133" s="17">
        <v>0.18</v>
      </c>
      <c r="J1133" s="18" t="s">
        <v>2655</v>
      </c>
    </row>
    <row r="1134" spans="1:10" ht="13" x14ac:dyDescent="0.3">
      <c r="A1134" s="34" t="s">
        <v>1224</v>
      </c>
      <c r="B1134" s="23" t="s">
        <v>2413</v>
      </c>
      <c r="C1134" s="13" t="s">
        <v>96</v>
      </c>
      <c r="D1134" s="18">
        <v>2</v>
      </c>
      <c r="E1134" s="15">
        <v>1493</v>
      </c>
      <c r="F1134" s="23" t="s">
        <v>1204</v>
      </c>
      <c r="G1134" s="18" t="s">
        <v>1111</v>
      </c>
      <c r="H1134" s="18">
        <v>39174000</v>
      </c>
      <c r="I1134" s="17">
        <v>0.18</v>
      </c>
      <c r="J1134" s="18" t="s">
        <v>2655</v>
      </c>
    </row>
    <row r="1135" spans="1:10" ht="13" x14ac:dyDescent="0.3">
      <c r="A1135" s="34" t="s">
        <v>1225</v>
      </c>
      <c r="B1135" s="23" t="s">
        <v>2414</v>
      </c>
      <c r="C1135" s="13" t="s">
        <v>84</v>
      </c>
      <c r="D1135" s="18">
        <v>2</v>
      </c>
      <c r="E1135" s="15">
        <v>2989</v>
      </c>
      <c r="F1135" s="23" t="s">
        <v>1204</v>
      </c>
      <c r="G1135" s="18" t="s">
        <v>1111</v>
      </c>
      <c r="H1135" s="18">
        <v>39174000</v>
      </c>
      <c r="I1135" s="17">
        <v>0.18</v>
      </c>
      <c r="J1135" s="18" t="s">
        <v>2655</v>
      </c>
    </row>
    <row r="1136" spans="1:10" ht="13" x14ac:dyDescent="0.3">
      <c r="A1136" s="34" t="s">
        <v>1988</v>
      </c>
      <c r="B1136" s="23" t="s">
        <v>2415</v>
      </c>
      <c r="C1136" s="13" t="s">
        <v>107</v>
      </c>
      <c r="D1136" s="18">
        <v>1</v>
      </c>
      <c r="E1136" s="15">
        <v>1756</v>
      </c>
      <c r="F1136" s="23" t="s">
        <v>1204</v>
      </c>
      <c r="G1136" s="18" t="s">
        <v>1111</v>
      </c>
      <c r="H1136" s="18">
        <v>39174000</v>
      </c>
      <c r="I1136" s="17">
        <v>0.18</v>
      </c>
      <c r="J1136" s="18" t="s">
        <v>2655</v>
      </c>
    </row>
    <row r="1137" spans="1:10" ht="13" x14ac:dyDescent="0.3">
      <c r="A1137" s="34" t="s">
        <v>1226</v>
      </c>
      <c r="B1137" s="23" t="s">
        <v>2416</v>
      </c>
      <c r="C1137" s="13" t="s">
        <v>721</v>
      </c>
      <c r="D1137" s="18">
        <v>1</v>
      </c>
      <c r="E1137" s="15">
        <v>291</v>
      </c>
      <c r="F1137" s="23" t="s">
        <v>1227</v>
      </c>
      <c r="G1137" s="18" t="s">
        <v>1111</v>
      </c>
      <c r="H1137" s="18">
        <v>39174000</v>
      </c>
      <c r="I1137" s="17">
        <v>0.18</v>
      </c>
      <c r="J1137" s="18" t="s">
        <v>2655</v>
      </c>
    </row>
    <row r="1138" spans="1:10" ht="13" x14ac:dyDescent="0.3">
      <c r="A1138" s="34" t="s">
        <v>1228</v>
      </c>
      <c r="B1138" s="23" t="s">
        <v>2417</v>
      </c>
      <c r="C1138" s="13" t="s">
        <v>724</v>
      </c>
      <c r="D1138" s="18">
        <v>1</v>
      </c>
      <c r="E1138" s="15">
        <v>345</v>
      </c>
      <c r="F1138" s="23" t="s">
        <v>1227</v>
      </c>
      <c r="G1138" s="18" t="s">
        <v>1111</v>
      </c>
      <c r="H1138" s="18">
        <v>39174000</v>
      </c>
      <c r="I1138" s="17">
        <v>0.18</v>
      </c>
      <c r="J1138" s="18" t="s">
        <v>2655</v>
      </c>
    </row>
    <row r="1139" spans="1:10" ht="13" x14ac:dyDescent="0.3">
      <c r="A1139" s="34" t="s">
        <v>1229</v>
      </c>
      <c r="B1139" s="23" t="s">
        <v>2418</v>
      </c>
      <c r="C1139" s="13" t="s">
        <v>726</v>
      </c>
      <c r="D1139" s="18">
        <v>1</v>
      </c>
      <c r="E1139" s="15">
        <v>300</v>
      </c>
      <c r="F1139" s="23" t="s">
        <v>1227</v>
      </c>
      <c r="G1139" s="18" t="s">
        <v>1111</v>
      </c>
      <c r="H1139" s="18">
        <v>39174000</v>
      </c>
      <c r="I1139" s="17">
        <v>0.18</v>
      </c>
      <c r="J1139" s="18" t="s">
        <v>2655</v>
      </c>
    </row>
    <row r="1140" spans="1:10" ht="13" x14ac:dyDescent="0.3">
      <c r="A1140" s="34" t="s">
        <v>1231</v>
      </c>
      <c r="B1140" s="23" t="s">
        <v>2419</v>
      </c>
      <c r="C1140" s="13" t="s">
        <v>726</v>
      </c>
      <c r="D1140" s="18">
        <v>20</v>
      </c>
      <c r="E1140" s="15">
        <v>669</v>
      </c>
      <c r="F1140" s="23" t="s">
        <v>1227</v>
      </c>
      <c r="G1140" s="18" t="s">
        <v>1111</v>
      </c>
      <c r="H1140" s="18">
        <v>39174000</v>
      </c>
      <c r="I1140" s="17">
        <v>0.18</v>
      </c>
      <c r="J1140" s="18" t="s">
        <v>2655</v>
      </c>
    </row>
    <row r="1141" spans="1:10" ht="13" x14ac:dyDescent="0.3">
      <c r="A1141" s="34" t="s">
        <v>1230</v>
      </c>
      <c r="B1141" s="23" t="s">
        <v>2420</v>
      </c>
      <c r="C1141" s="13" t="s">
        <v>725</v>
      </c>
      <c r="D1141" s="18">
        <v>10</v>
      </c>
      <c r="E1141" s="15">
        <v>362</v>
      </c>
      <c r="F1141" s="23" t="s">
        <v>1227</v>
      </c>
      <c r="G1141" s="18" t="s">
        <v>1111</v>
      </c>
      <c r="H1141" s="18">
        <v>39174000</v>
      </c>
      <c r="I1141" s="17">
        <v>0.18</v>
      </c>
      <c r="J1141" s="18" t="s">
        <v>2655</v>
      </c>
    </row>
    <row r="1142" spans="1:10" ht="13" x14ac:dyDescent="0.3">
      <c r="A1142" s="34" t="s">
        <v>1232</v>
      </c>
      <c r="B1142" s="23" t="s">
        <v>2421</v>
      </c>
      <c r="C1142" s="13" t="s">
        <v>2051</v>
      </c>
      <c r="D1142" s="18">
        <v>10</v>
      </c>
      <c r="E1142" s="15">
        <v>2156</v>
      </c>
      <c r="F1142" s="23" t="s">
        <v>1227</v>
      </c>
      <c r="G1142" s="18" t="s">
        <v>1111</v>
      </c>
      <c r="H1142" s="18">
        <v>39174000</v>
      </c>
      <c r="I1142" s="17">
        <v>0.18</v>
      </c>
      <c r="J1142" s="18" t="s">
        <v>2655</v>
      </c>
    </row>
    <row r="1143" spans="1:10" ht="13" x14ac:dyDescent="0.3">
      <c r="A1143" s="34" t="s">
        <v>1233</v>
      </c>
      <c r="B1143" s="23" t="s">
        <v>2422</v>
      </c>
      <c r="C1143" s="13" t="s">
        <v>2052</v>
      </c>
      <c r="D1143" s="18">
        <v>10</v>
      </c>
      <c r="E1143" s="15">
        <v>3218</v>
      </c>
      <c r="F1143" s="23" t="s">
        <v>1227</v>
      </c>
      <c r="G1143" s="18" t="s">
        <v>1111</v>
      </c>
      <c r="H1143" s="18">
        <v>39174000</v>
      </c>
      <c r="I1143" s="17">
        <v>0.18</v>
      </c>
      <c r="J1143" s="18" t="s">
        <v>2655</v>
      </c>
    </row>
    <row r="1144" spans="1:10" ht="13" x14ac:dyDescent="0.3">
      <c r="A1144" s="34" t="s">
        <v>1234</v>
      </c>
      <c r="B1144" s="23" t="s">
        <v>2423</v>
      </c>
      <c r="C1144" s="13" t="s">
        <v>729</v>
      </c>
      <c r="D1144" s="18">
        <v>10</v>
      </c>
      <c r="E1144" s="15">
        <v>4664</v>
      </c>
      <c r="F1144" s="23" t="s">
        <v>1227</v>
      </c>
      <c r="G1144" s="18" t="s">
        <v>1111</v>
      </c>
      <c r="H1144" s="18">
        <v>39174000</v>
      </c>
      <c r="I1144" s="17">
        <v>0.18</v>
      </c>
      <c r="J1144" s="18" t="s">
        <v>2655</v>
      </c>
    </row>
    <row r="1145" spans="1:10" ht="13" x14ac:dyDescent="0.3">
      <c r="A1145" s="34" t="s">
        <v>1235</v>
      </c>
      <c r="B1145" s="23" t="s">
        <v>2424</v>
      </c>
      <c r="C1145" s="13" t="s">
        <v>2053</v>
      </c>
      <c r="D1145" s="18">
        <v>5</v>
      </c>
      <c r="E1145" s="15">
        <v>8262</v>
      </c>
      <c r="F1145" s="23" t="s">
        <v>1227</v>
      </c>
      <c r="G1145" s="18" t="s">
        <v>1111</v>
      </c>
      <c r="H1145" s="18">
        <v>39174000</v>
      </c>
      <c r="I1145" s="17">
        <v>0.18</v>
      </c>
      <c r="J1145" s="18" t="s">
        <v>2655</v>
      </c>
    </row>
    <row r="1146" spans="1:10" ht="13" x14ac:dyDescent="0.3">
      <c r="A1146" s="34" t="s">
        <v>1236</v>
      </c>
      <c r="B1146" s="23" t="s">
        <v>2425</v>
      </c>
      <c r="C1146" s="13" t="s">
        <v>731</v>
      </c>
      <c r="D1146" s="18">
        <v>4</v>
      </c>
      <c r="E1146" s="15">
        <v>10398</v>
      </c>
      <c r="F1146" s="23" t="s">
        <v>1227</v>
      </c>
      <c r="G1146" s="18" t="s">
        <v>1111</v>
      </c>
      <c r="H1146" s="18">
        <v>39174000</v>
      </c>
      <c r="I1146" s="17">
        <v>0.18</v>
      </c>
      <c r="J1146" s="18" t="s">
        <v>2655</v>
      </c>
    </row>
    <row r="1147" spans="1:10" ht="13" x14ac:dyDescent="0.3">
      <c r="A1147" s="34" t="s">
        <v>1237</v>
      </c>
      <c r="B1147" s="23" t="s">
        <v>2426</v>
      </c>
      <c r="C1147" s="13" t="s">
        <v>732</v>
      </c>
      <c r="D1147" s="18">
        <v>2</v>
      </c>
      <c r="E1147" s="15">
        <v>16925</v>
      </c>
      <c r="F1147" s="23" t="s">
        <v>1227</v>
      </c>
      <c r="G1147" s="18" t="s">
        <v>1111</v>
      </c>
      <c r="H1147" s="18">
        <v>39174000</v>
      </c>
      <c r="I1147" s="17">
        <v>0.18</v>
      </c>
      <c r="J1147" s="18" t="s">
        <v>2655</v>
      </c>
    </row>
    <row r="1148" spans="1:10" ht="13" x14ac:dyDescent="0.3">
      <c r="A1148" s="34" t="s">
        <v>1238</v>
      </c>
      <c r="B1148" s="23" t="s">
        <v>2427</v>
      </c>
      <c r="C1148" s="13" t="s">
        <v>721</v>
      </c>
      <c r="D1148" s="18">
        <v>1</v>
      </c>
      <c r="E1148" s="15">
        <v>373</v>
      </c>
      <c r="F1148" s="23" t="s">
        <v>1239</v>
      </c>
      <c r="G1148" s="18" t="s">
        <v>1111</v>
      </c>
      <c r="H1148" s="18">
        <v>39174000</v>
      </c>
      <c r="I1148" s="17">
        <v>0.18</v>
      </c>
      <c r="J1148" s="18" t="s">
        <v>2655</v>
      </c>
    </row>
    <row r="1149" spans="1:10" ht="13" x14ac:dyDescent="0.3">
      <c r="A1149" s="34" t="s">
        <v>1240</v>
      </c>
      <c r="B1149" s="23" t="s">
        <v>2428</v>
      </c>
      <c r="C1149" s="13" t="s">
        <v>724</v>
      </c>
      <c r="D1149" s="18">
        <v>1</v>
      </c>
      <c r="E1149" s="15">
        <v>574</v>
      </c>
      <c r="F1149" s="23" t="s">
        <v>1239</v>
      </c>
      <c r="G1149" s="18" t="s">
        <v>1111</v>
      </c>
      <c r="H1149" s="18">
        <v>39174000</v>
      </c>
      <c r="I1149" s="17">
        <v>0.18</v>
      </c>
      <c r="J1149" s="18" t="s">
        <v>2655</v>
      </c>
    </row>
    <row r="1150" spans="1:10" ht="13" x14ac:dyDescent="0.3">
      <c r="A1150" s="34" t="s">
        <v>1241</v>
      </c>
      <c r="B1150" s="23" t="s">
        <v>2429</v>
      </c>
      <c r="C1150" s="13" t="s">
        <v>723</v>
      </c>
      <c r="D1150" s="18">
        <v>1</v>
      </c>
      <c r="E1150" s="15">
        <v>384</v>
      </c>
      <c r="F1150" s="23" t="s">
        <v>1239</v>
      </c>
      <c r="G1150" s="18" t="s">
        <v>1111</v>
      </c>
      <c r="H1150" s="18">
        <v>39174000</v>
      </c>
      <c r="I1150" s="17">
        <v>0.18</v>
      </c>
      <c r="J1150" s="18" t="s">
        <v>2655</v>
      </c>
    </row>
    <row r="1151" spans="1:10" ht="13" x14ac:dyDescent="0.3">
      <c r="A1151" s="34" t="s">
        <v>1243</v>
      </c>
      <c r="B1151" s="23" t="s">
        <v>2430</v>
      </c>
      <c r="C1151" s="13" t="s">
        <v>726</v>
      </c>
      <c r="D1151" s="18">
        <v>20</v>
      </c>
      <c r="E1151" s="15">
        <v>803</v>
      </c>
      <c r="F1151" s="23" t="s">
        <v>1239</v>
      </c>
      <c r="G1151" s="18" t="s">
        <v>1111</v>
      </c>
      <c r="H1151" s="18">
        <v>39174000</v>
      </c>
      <c r="I1151" s="17">
        <v>0.18</v>
      </c>
      <c r="J1151" s="18" t="s">
        <v>2655</v>
      </c>
    </row>
    <row r="1152" spans="1:10" ht="13" x14ac:dyDescent="0.3">
      <c r="A1152" s="34" t="s">
        <v>1242</v>
      </c>
      <c r="B1152" s="23" t="s">
        <v>2431</v>
      </c>
      <c r="C1152" s="13" t="s">
        <v>725</v>
      </c>
      <c r="D1152" s="18">
        <v>10</v>
      </c>
      <c r="E1152" s="15">
        <v>588</v>
      </c>
      <c r="F1152" s="23" t="s">
        <v>1239</v>
      </c>
      <c r="G1152" s="18" t="s">
        <v>1111</v>
      </c>
      <c r="H1152" s="18">
        <v>39174000</v>
      </c>
      <c r="I1152" s="17">
        <v>0.18</v>
      </c>
      <c r="J1152" s="18" t="s">
        <v>2655</v>
      </c>
    </row>
    <row r="1153" spans="1:10" ht="13" x14ac:dyDescent="0.3">
      <c r="A1153" s="34" t="s">
        <v>1244</v>
      </c>
      <c r="B1153" s="23" t="s">
        <v>2432</v>
      </c>
      <c r="C1153" s="13" t="s">
        <v>2051</v>
      </c>
      <c r="D1153" s="18">
        <v>10</v>
      </c>
      <c r="E1153" s="15">
        <v>2576</v>
      </c>
      <c r="F1153" s="23" t="s">
        <v>1239</v>
      </c>
      <c r="G1153" s="18" t="s">
        <v>1111</v>
      </c>
      <c r="H1153" s="18">
        <v>39174000</v>
      </c>
      <c r="I1153" s="17">
        <v>0.18</v>
      </c>
      <c r="J1153" s="18" t="s">
        <v>2655</v>
      </c>
    </row>
    <row r="1154" spans="1:10" ht="13" x14ac:dyDescent="0.3">
      <c r="A1154" s="34" t="s">
        <v>1245</v>
      </c>
      <c r="B1154" s="23" t="s">
        <v>2433</v>
      </c>
      <c r="C1154" s="13" t="s">
        <v>2052</v>
      </c>
      <c r="D1154" s="18">
        <v>10</v>
      </c>
      <c r="E1154" s="15">
        <v>4928</v>
      </c>
      <c r="F1154" s="23" t="s">
        <v>1239</v>
      </c>
      <c r="G1154" s="18" t="s">
        <v>1111</v>
      </c>
      <c r="H1154" s="18">
        <v>39174000</v>
      </c>
      <c r="I1154" s="17">
        <v>0.18</v>
      </c>
      <c r="J1154" s="18" t="s">
        <v>2655</v>
      </c>
    </row>
    <row r="1155" spans="1:10" ht="13" x14ac:dyDescent="0.3">
      <c r="A1155" s="34" t="s">
        <v>1246</v>
      </c>
      <c r="B1155" s="23" t="s">
        <v>2434</v>
      </c>
      <c r="C1155" s="13" t="s">
        <v>729</v>
      </c>
      <c r="D1155" s="18">
        <v>10</v>
      </c>
      <c r="E1155" s="15">
        <v>7227</v>
      </c>
      <c r="F1155" s="23" t="s">
        <v>1239</v>
      </c>
      <c r="G1155" s="18" t="s">
        <v>1111</v>
      </c>
      <c r="H1155" s="18">
        <v>39174000</v>
      </c>
      <c r="I1155" s="17">
        <v>0.18</v>
      </c>
      <c r="J1155" s="18" t="s">
        <v>2655</v>
      </c>
    </row>
    <row r="1156" spans="1:10" ht="13" x14ac:dyDescent="0.3">
      <c r="A1156" s="34" t="s">
        <v>1247</v>
      </c>
      <c r="B1156" s="23" t="s">
        <v>2435</v>
      </c>
      <c r="C1156" s="13" t="s">
        <v>2053</v>
      </c>
      <c r="D1156" s="18">
        <v>5</v>
      </c>
      <c r="E1156" s="15">
        <v>11084</v>
      </c>
      <c r="F1156" s="23" t="s">
        <v>1239</v>
      </c>
      <c r="G1156" s="18" t="s">
        <v>1111</v>
      </c>
      <c r="H1156" s="18">
        <v>39174000</v>
      </c>
      <c r="I1156" s="17">
        <v>0.18</v>
      </c>
      <c r="J1156" s="18" t="s">
        <v>2655</v>
      </c>
    </row>
    <row r="1157" spans="1:10" ht="13" x14ac:dyDescent="0.3">
      <c r="A1157" s="34" t="s">
        <v>1248</v>
      </c>
      <c r="B1157" s="23" t="s">
        <v>2436</v>
      </c>
      <c r="C1157" s="13" t="s">
        <v>731</v>
      </c>
      <c r="D1157" s="18">
        <v>4</v>
      </c>
      <c r="E1157" s="15">
        <v>14912</v>
      </c>
      <c r="F1157" s="23" t="s">
        <v>1239</v>
      </c>
      <c r="G1157" s="18" t="s">
        <v>1111</v>
      </c>
      <c r="H1157" s="18">
        <v>39174000</v>
      </c>
      <c r="I1157" s="17">
        <v>0.18</v>
      </c>
      <c r="J1157" s="18" t="s">
        <v>2655</v>
      </c>
    </row>
    <row r="1158" spans="1:10" ht="13" x14ac:dyDescent="0.3">
      <c r="A1158" s="34" t="s">
        <v>1249</v>
      </c>
      <c r="B1158" s="23" t="s">
        <v>2437</v>
      </c>
      <c r="C1158" s="13" t="s">
        <v>732</v>
      </c>
      <c r="D1158" s="18">
        <v>2</v>
      </c>
      <c r="E1158" s="15">
        <v>23286</v>
      </c>
      <c r="F1158" s="23" t="s">
        <v>1239</v>
      </c>
      <c r="G1158" s="18" t="s">
        <v>1111</v>
      </c>
      <c r="H1158" s="18">
        <v>39174000</v>
      </c>
      <c r="I1158" s="17">
        <v>0.18</v>
      </c>
      <c r="J1158" s="18" t="s">
        <v>2655</v>
      </c>
    </row>
    <row r="1159" spans="1:10" ht="13" x14ac:dyDescent="0.3">
      <c r="A1159" s="34" t="s">
        <v>1266</v>
      </c>
      <c r="B1159" s="23" t="s">
        <v>2438</v>
      </c>
      <c r="C1159" s="13" t="s">
        <v>722</v>
      </c>
      <c r="D1159" s="18">
        <v>1</v>
      </c>
      <c r="E1159" s="15">
        <v>1025</v>
      </c>
      <c r="F1159" s="23" t="s">
        <v>1267</v>
      </c>
      <c r="G1159" s="18" t="s">
        <v>1111</v>
      </c>
      <c r="H1159" s="18">
        <v>39174000</v>
      </c>
      <c r="I1159" s="17">
        <v>0.18</v>
      </c>
      <c r="J1159" s="18" t="s">
        <v>2655</v>
      </c>
    </row>
    <row r="1160" spans="1:10" ht="13" x14ac:dyDescent="0.3">
      <c r="A1160" s="34" t="s">
        <v>1989</v>
      </c>
      <c r="B1160" s="23" t="s">
        <v>2439</v>
      </c>
      <c r="C1160" s="13" t="s">
        <v>734</v>
      </c>
      <c r="D1160" s="18">
        <v>1</v>
      </c>
      <c r="E1160" s="15">
        <v>1543</v>
      </c>
      <c r="F1160" s="23" t="s">
        <v>1267</v>
      </c>
      <c r="G1160" s="18" t="s">
        <v>1111</v>
      </c>
      <c r="H1160" s="18">
        <v>39174000</v>
      </c>
      <c r="I1160" s="17">
        <v>0.18</v>
      </c>
      <c r="J1160" s="18" t="s">
        <v>2655</v>
      </c>
    </row>
    <row r="1161" spans="1:10" ht="13" x14ac:dyDescent="0.3">
      <c r="A1161" s="34" t="s">
        <v>1268</v>
      </c>
      <c r="B1161" s="23" t="s">
        <v>2440</v>
      </c>
      <c r="C1161" s="13" t="s">
        <v>724</v>
      </c>
      <c r="D1161" s="18">
        <v>1</v>
      </c>
      <c r="E1161" s="15">
        <v>1034</v>
      </c>
      <c r="F1161" s="23" t="s">
        <v>1267</v>
      </c>
      <c r="G1161" s="18" t="s">
        <v>1111</v>
      </c>
      <c r="H1161" s="18">
        <v>39174000</v>
      </c>
      <c r="I1161" s="17">
        <v>0.18</v>
      </c>
      <c r="J1161" s="18" t="s">
        <v>2655</v>
      </c>
    </row>
    <row r="1162" spans="1:10" ht="13" x14ac:dyDescent="0.3">
      <c r="A1162" s="34" t="s">
        <v>1990</v>
      </c>
      <c r="B1162" s="23" t="s">
        <v>2441</v>
      </c>
      <c r="C1162" s="13" t="s">
        <v>1878</v>
      </c>
      <c r="D1162" s="18">
        <v>10</v>
      </c>
      <c r="E1162" s="15">
        <v>3003</v>
      </c>
      <c r="F1162" s="23" t="s">
        <v>1267</v>
      </c>
      <c r="G1162" s="18" t="s">
        <v>1111</v>
      </c>
      <c r="H1162" s="18">
        <v>39174000</v>
      </c>
      <c r="I1162" s="17">
        <v>0.18</v>
      </c>
      <c r="J1162" s="18" t="s">
        <v>2655</v>
      </c>
    </row>
    <row r="1163" spans="1:10" ht="13" x14ac:dyDescent="0.3">
      <c r="A1163" s="34" t="s">
        <v>1269</v>
      </c>
      <c r="B1163" s="23" t="s">
        <v>2442</v>
      </c>
      <c r="C1163" s="13" t="s">
        <v>726</v>
      </c>
      <c r="D1163" s="18">
        <v>10</v>
      </c>
      <c r="E1163" s="15">
        <v>1560</v>
      </c>
      <c r="F1163" s="23" t="s">
        <v>1267</v>
      </c>
      <c r="G1163" s="18" t="s">
        <v>1111</v>
      </c>
      <c r="H1163" s="18">
        <v>39174000</v>
      </c>
      <c r="I1163" s="17">
        <v>0.18</v>
      </c>
      <c r="J1163" s="18" t="s">
        <v>2655</v>
      </c>
    </row>
    <row r="1164" spans="1:10" ht="13" x14ac:dyDescent="0.3">
      <c r="A1164" s="34" t="s">
        <v>1270</v>
      </c>
      <c r="B1164" s="23" t="s">
        <v>2443</v>
      </c>
      <c r="C1164" s="13" t="s">
        <v>2054</v>
      </c>
      <c r="D1164" s="18">
        <v>5</v>
      </c>
      <c r="E1164" s="15">
        <v>4923</v>
      </c>
      <c r="F1164" s="23" t="s">
        <v>1267</v>
      </c>
      <c r="G1164" s="18" t="s">
        <v>1111</v>
      </c>
      <c r="H1164" s="18">
        <v>39174000</v>
      </c>
      <c r="I1164" s="17">
        <v>0.18</v>
      </c>
      <c r="J1164" s="18" t="s">
        <v>2655</v>
      </c>
    </row>
    <row r="1165" spans="1:10" ht="13" x14ac:dyDescent="0.3">
      <c r="A1165" s="34" t="s">
        <v>1271</v>
      </c>
      <c r="B1165" s="23" t="s">
        <v>2444</v>
      </c>
      <c r="C1165" s="13" t="s">
        <v>991</v>
      </c>
      <c r="D1165" s="18">
        <v>10</v>
      </c>
      <c r="E1165" s="15">
        <v>7871</v>
      </c>
      <c r="F1165" s="23" t="s">
        <v>1267</v>
      </c>
      <c r="G1165" s="18" t="s">
        <v>1111</v>
      </c>
      <c r="H1165" s="18">
        <v>39174000</v>
      </c>
      <c r="I1165" s="17">
        <v>0.18</v>
      </c>
      <c r="J1165" s="18" t="s">
        <v>2655</v>
      </c>
    </row>
    <row r="1166" spans="1:10" ht="13" x14ac:dyDescent="0.3">
      <c r="A1166" s="34" t="s">
        <v>1272</v>
      </c>
      <c r="B1166" s="23" t="s">
        <v>2445</v>
      </c>
      <c r="C1166" s="13" t="s">
        <v>2055</v>
      </c>
      <c r="D1166" s="18">
        <v>10</v>
      </c>
      <c r="E1166" s="15">
        <v>12329</v>
      </c>
      <c r="F1166" s="23" t="s">
        <v>1267</v>
      </c>
      <c r="G1166" s="18" t="s">
        <v>1111</v>
      </c>
      <c r="H1166" s="18">
        <v>39174000</v>
      </c>
      <c r="I1166" s="17">
        <v>0.18</v>
      </c>
      <c r="J1166" s="18" t="s">
        <v>2655</v>
      </c>
    </row>
    <row r="1167" spans="1:10" ht="13" x14ac:dyDescent="0.3">
      <c r="A1167" s="34" t="s">
        <v>1273</v>
      </c>
      <c r="B1167" s="23" t="s">
        <v>2446</v>
      </c>
      <c r="C1167" s="13" t="s">
        <v>994</v>
      </c>
      <c r="D1167" s="18">
        <v>5</v>
      </c>
      <c r="E1167" s="15">
        <v>20476</v>
      </c>
      <c r="F1167" s="23" t="s">
        <v>1267</v>
      </c>
      <c r="G1167" s="18" t="s">
        <v>1111</v>
      </c>
      <c r="H1167" s="18">
        <v>39174000</v>
      </c>
      <c r="I1167" s="17">
        <v>0.18</v>
      </c>
      <c r="J1167" s="18" t="s">
        <v>2655</v>
      </c>
    </row>
    <row r="1168" spans="1:10" ht="13" x14ac:dyDescent="0.3">
      <c r="A1168" s="34" t="s">
        <v>1260</v>
      </c>
      <c r="B1168" s="23" t="s">
        <v>1991</v>
      </c>
      <c r="C1168" s="13" t="s">
        <v>721</v>
      </c>
      <c r="D1168" s="18">
        <v>2</v>
      </c>
      <c r="E1168" s="15">
        <v>1084</v>
      </c>
      <c r="F1168" s="23" t="s">
        <v>1261</v>
      </c>
      <c r="G1168" s="18" t="s">
        <v>1111</v>
      </c>
      <c r="H1168" s="18">
        <v>39174000</v>
      </c>
      <c r="I1168" s="17">
        <v>0.18</v>
      </c>
      <c r="J1168" s="18" t="s">
        <v>2655</v>
      </c>
    </row>
    <row r="1169" spans="1:10" ht="13" x14ac:dyDescent="0.3">
      <c r="A1169" s="34" t="s">
        <v>1262</v>
      </c>
      <c r="B1169" s="23" t="s">
        <v>1992</v>
      </c>
      <c r="C1169" s="13" t="s">
        <v>724</v>
      </c>
      <c r="D1169" s="18">
        <v>2</v>
      </c>
      <c r="E1169" s="15">
        <v>1334</v>
      </c>
      <c r="F1169" s="23" t="s">
        <v>1261</v>
      </c>
      <c r="G1169" s="18" t="s">
        <v>1111</v>
      </c>
      <c r="H1169" s="18">
        <v>39174000</v>
      </c>
      <c r="I1169" s="17">
        <v>0.18</v>
      </c>
      <c r="J1169" s="18" t="s">
        <v>2655</v>
      </c>
    </row>
    <row r="1170" spans="1:10" ht="13" x14ac:dyDescent="0.3">
      <c r="A1170" s="34" t="s">
        <v>1263</v>
      </c>
      <c r="B1170" s="23" t="s">
        <v>1993</v>
      </c>
      <c r="C1170" s="13" t="s">
        <v>726</v>
      </c>
      <c r="D1170" s="18">
        <v>10</v>
      </c>
      <c r="E1170" s="15">
        <v>2126</v>
      </c>
      <c r="F1170" s="23" t="s">
        <v>1261</v>
      </c>
      <c r="G1170" s="18" t="s">
        <v>1111</v>
      </c>
      <c r="H1170" s="18">
        <v>39174000</v>
      </c>
      <c r="I1170" s="17">
        <v>0.18</v>
      </c>
      <c r="J1170" s="18" t="s">
        <v>2655</v>
      </c>
    </row>
    <row r="1171" spans="1:10" ht="13" x14ac:dyDescent="0.3">
      <c r="A1171" s="34" t="s">
        <v>1264</v>
      </c>
      <c r="B1171" s="23" t="s">
        <v>1994</v>
      </c>
      <c r="C1171" s="13" t="s">
        <v>2051</v>
      </c>
      <c r="D1171" s="18">
        <v>10</v>
      </c>
      <c r="E1171" s="15">
        <v>2332</v>
      </c>
      <c r="F1171" s="23" t="s">
        <v>1261</v>
      </c>
      <c r="G1171" s="18" t="s">
        <v>1111</v>
      </c>
      <c r="H1171" s="18">
        <v>39174000</v>
      </c>
      <c r="I1171" s="17">
        <v>0.18</v>
      </c>
      <c r="J1171" s="18" t="s">
        <v>2655</v>
      </c>
    </row>
    <row r="1172" spans="1:10" ht="13" x14ac:dyDescent="0.3">
      <c r="A1172" s="34" t="s">
        <v>1265</v>
      </c>
      <c r="B1172" s="23" t="s">
        <v>1995</v>
      </c>
      <c r="C1172" s="13" t="s">
        <v>2052</v>
      </c>
      <c r="D1172" s="18">
        <v>5</v>
      </c>
      <c r="E1172" s="15">
        <v>4315</v>
      </c>
      <c r="F1172" s="23" t="s">
        <v>1261</v>
      </c>
      <c r="G1172" s="18" t="s">
        <v>1111</v>
      </c>
      <c r="H1172" s="18">
        <v>39174000</v>
      </c>
      <c r="I1172" s="17">
        <v>0.18</v>
      </c>
      <c r="J1172" s="18" t="s">
        <v>2655</v>
      </c>
    </row>
    <row r="1173" spans="1:10" ht="13" x14ac:dyDescent="0.3">
      <c r="A1173" s="34" t="s">
        <v>1254</v>
      </c>
      <c r="B1173" s="23" t="s">
        <v>1996</v>
      </c>
      <c r="C1173" s="13" t="s">
        <v>721</v>
      </c>
      <c r="D1173" s="18">
        <v>2</v>
      </c>
      <c r="E1173" s="15">
        <v>1177</v>
      </c>
      <c r="F1173" s="23" t="s">
        <v>1255</v>
      </c>
      <c r="G1173" s="18" t="s">
        <v>1111</v>
      </c>
      <c r="H1173" s="18">
        <v>39174000</v>
      </c>
      <c r="I1173" s="17">
        <v>0.18</v>
      </c>
      <c r="J1173" s="18" t="s">
        <v>2655</v>
      </c>
    </row>
    <row r="1174" spans="1:10" ht="13" x14ac:dyDescent="0.3">
      <c r="A1174" s="34" t="s">
        <v>1256</v>
      </c>
      <c r="B1174" s="23" t="s">
        <v>1997</v>
      </c>
      <c r="C1174" s="13" t="s">
        <v>724</v>
      </c>
      <c r="D1174" s="18">
        <v>2</v>
      </c>
      <c r="E1174" s="15">
        <v>1470</v>
      </c>
      <c r="F1174" s="23" t="s">
        <v>1255</v>
      </c>
      <c r="G1174" s="18" t="s">
        <v>1111</v>
      </c>
      <c r="H1174" s="18">
        <v>39174000</v>
      </c>
      <c r="I1174" s="17">
        <v>0.18</v>
      </c>
      <c r="J1174" s="18" t="s">
        <v>2655</v>
      </c>
    </row>
    <row r="1175" spans="1:10" ht="13" x14ac:dyDescent="0.3">
      <c r="A1175" s="34" t="s">
        <v>1257</v>
      </c>
      <c r="B1175" s="23" t="s">
        <v>1998</v>
      </c>
      <c r="C1175" s="13" t="s">
        <v>726</v>
      </c>
      <c r="D1175" s="18">
        <v>1</v>
      </c>
      <c r="E1175" s="15">
        <v>2361</v>
      </c>
      <c r="F1175" s="23" t="s">
        <v>1255</v>
      </c>
      <c r="G1175" s="18" t="s">
        <v>1111</v>
      </c>
      <c r="H1175" s="18">
        <v>39174000</v>
      </c>
      <c r="I1175" s="17">
        <v>0.18</v>
      </c>
      <c r="J1175" s="18" t="s">
        <v>2655</v>
      </c>
    </row>
    <row r="1176" spans="1:10" ht="13" x14ac:dyDescent="0.3">
      <c r="A1176" s="34" t="s">
        <v>1258</v>
      </c>
      <c r="B1176" s="23" t="s">
        <v>1999</v>
      </c>
      <c r="C1176" s="13" t="s">
        <v>2051</v>
      </c>
      <c r="D1176" s="18">
        <v>1</v>
      </c>
      <c r="E1176" s="15">
        <v>2769</v>
      </c>
      <c r="F1176" s="23" t="s">
        <v>1255</v>
      </c>
      <c r="G1176" s="18" t="s">
        <v>1111</v>
      </c>
      <c r="H1176" s="18">
        <v>39174000</v>
      </c>
      <c r="I1176" s="17">
        <v>0.18</v>
      </c>
      <c r="J1176" s="18" t="s">
        <v>2655</v>
      </c>
    </row>
    <row r="1177" spans="1:10" ht="13" x14ac:dyDescent="0.3">
      <c r="A1177" s="34" t="s">
        <v>1259</v>
      </c>
      <c r="B1177" s="23" t="s">
        <v>2000</v>
      </c>
      <c r="C1177" s="13" t="s">
        <v>2052</v>
      </c>
      <c r="D1177" s="18">
        <v>1</v>
      </c>
      <c r="E1177" s="15">
        <v>4848</v>
      </c>
      <c r="F1177" s="23" t="s">
        <v>1255</v>
      </c>
      <c r="G1177" s="18" t="s">
        <v>1111</v>
      </c>
      <c r="H1177" s="18">
        <v>39174000</v>
      </c>
      <c r="I1177" s="17">
        <v>0.18</v>
      </c>
      <c r="J1177" s="18" t="s">
        <v>2655</v>
      </c>
    </row>
    <row r="1178" spans="1:10" ht="13" x14ac:dyDescent="0.3">
      <c r="A1178" s="34" t="s">
        <v>2001</v>
      </c>
      <c r="B1178" s="23" t="s">
        <v>2002</v>
      </c>
      <c r="C1178" s="13">
        <v>20</v>
      </c>
      <c r="D1178" s="18">
        <v>1</v>
      </c>
      <c r="E1178" s="15">
        <v>1058</v>
      </c>
      <c r="F1178" s="23" t="s">
        <v>2048</v>
      </c>
      <c r="G1178" s="18" t="s">
        <v>1111</v>
      </c>
      <c r="H1178" s="18">
        <v>39174000</v>
      </c>
      <c r="I1178" s="17">
        <v>0.18</v>
      </c>
      <c r="J1178" s="18" t="s">
        <v>2655</v>
      </c>
    </row>
    <row r="1179" spans="1:10" ht="13" x14ac:dyDescent="0.3">
      <c r="A1179" s="34" t="s">
        <v>2003</v>
      </c>
      <c r="B1179" s="23" t="s">
        <v>2004</v>
      </c>
      <c r="C1179" s="13">
        <v>25</v>
      </c>
      <c r="D1179" s="18">
        <v>1</v>
      </c>
      <c r="E1179" s="15">
        <v>1406</v>
      </c>
      <c r="F1179" s="23" t="s">
        <v>2048</v>
      </c>
      <c r="G1179" s="18" t="s">
        <v>1111</v>
      </c>
      <c r="H1179" s="18">
        <v>39174000</v>
      </c>
      <c r="I1179" s="17">
        <v>0.18</v>
      </c>
      <c r="J1179" s="18" t="s">
        <v>2655</v>
      </c>
    </row>
    <row r="1180" spans="1:10" ht="13" x14ac:dyDescent="0.3">
      <c r="A1180" s="34" t="s">
        <v>2005</v>
      </c>
      <c r="B1180" s="23" t="s">
        <v>2006</v>
      </c>
      <c r="C1180" s="13">
        <v>32</v>
      </c>
      <c r="D1180" s="18">
        <v>1</v>
      </c>
      <c r="E1180" s="15">
        <v>2108</v>
      </c>
      <c r="F1180" s="23" t="s">
        <v>2048</v>
      </c>
      <c r="G1180" s="18" t="s">
        <v>1111</v>
      </c>
      <c r="H1180" s="18">
        <v>39174000</v>
      </c>
      <c r="I1180" s="17">
        <v>0.18</v>
      </c>
      <c r="J1180" s="18" t="s">
        <v>2655</v>
      </c>
    </row>
    <row r="1181" spans="1:10" ht="13" x14ac:dyDescent="0.3">
      <c r="A1181" s="34" t="s">
        <v>2007</v>
      </c>
      <c r="B1181" s="23" t="s">
        <v>2008</v>
      </c>
      <c r="C1181" s="13">
        <v>40</v>
      </c>
      <c r="D1181" s="18">
        <v>1</v>
      </c>
      <c r="E1181" s="15">
        <v>2767</v>
      </c>
      <c r="F1181" s="23" t="s">
        <v>2048</v>
      </c>
      <c r="G1181" s="18" t="s">
        <v>1111</v>
      </c>
      <c r="H1181" s="18">
        <v>39174000</v>
      </c>
      <c r="I1181" s="17">
        <v>0.18</v>
      </c>
      <c r="J1181" s="18" t="s">
        <v>2655</v>
      </c>
    </row>
    <row r="1182" spans="1:10" ht="13" x14ac:dyDescent="0.3">
      <c r="A1182" s="34" t="s">
        <v>2009</v>
      </c>
      <c r="B1182" s="23" t="s">
        <v>2010</v>
      </c>
      <c r="C1182" s="13">
        <v>50</v>
      </c>
      <c r="D1182" s="18">
        <v>1</v>
      </c>
      <c r="E1182" s="15">
        <v>4587</v>
      </c>
      <c r="F1182" s="23" t="s">
        <v>2048</v>
      </c>
      <c r="G1182" s="18" t="s">
        <v>1111</v>
      </c>
      <c r="H1182" s="18">
        <v>39174000</v>
      </c>
      <c r="I1182" s="17">
        <v>0.18</v>
      </c>
      <c r="J1182" s="18" t="s">
        <v>2655</v>
      </c>
    </row>
    <row r="1183" spans="1:10" ht="13" x14ac:dyDescent="0.3">
      <c r="A1183" s="34" t="s">
        <v>1285</v>
      </c>
      <c r="B1183" s="23" t="s">
        <v>2011</v>
      </c>
      <c r="C1183" s="13" t="s">
        <v>1010</v>
      </c>
      <c r="D1183" s="18">
        <v>1</v>
      </c>
      <c r="E1183" s="15">
        <v>76</v>
      </c>
      <c r="F1183" s="23" t="s">
        <v>1286</v>
      </c>
      <c r="G1183" s="18" t="s">
        <v>1111</v>
      </c>
      <c r="H1183" s="18">
        <v>39174000</v>
      </c>
      <c r="I1183" s="17">
        <v>0.18</v>
      </c>
      <c r="J1183" s="18" t="s">
        <v>2655</v>
      </c>
    </row>
    <row r="1184" spans="1:10" ht="13" x14ac:dyDescent="0.3">
      <c r="A1184" s="34" t="s">
        <v>1287</v>
      </c>
      <c r="B1184" s="23" t="s">
        <v>2012</v>
      </c>
      <c r="C1184" s="13" t="s">
        <v>1012</v>
      </c>
      <c r="D1184" s="18">
        <v>50</v>
      </c>
      <c r="E1184" s="15">
        <v>81</v>
      </c>
      <c r="F1184" s="23" t="s">
        <v>1286</v>
      </c>
      <c r="G1184" s="18" t="s">
        <v>1111</v>
      </c>
      <c r="H1184" s="18">
        <v>39174000</v>
      </c>
      <c r="I1184" s="17">
        <v>0.18</v>
      </c>
      <c r="J1184" s="18" t="s">
        <v>2655</v>
      </c>
    </row>
    <row r="1185" spans="1:10" ht="13" x14ac:dyDescent="0.3">
      <c r="A1185" s="34" t="s">
        <v>1288</v>
      </c>
      <c r="B1185" s="23" t="s">
        <v>2013</v>
      </c>
      <c r="C1185" s="13" t="s">
        <v>1014</v>
      </c>
      <c r="D1185" s="18">
        <v>50</v>
      </c>
      <c r="E1185" s="15">
        <v>124</v>
      </c>
      <c r="F1185" s="23" t="s">
        <v>1286</v>
      </c>
      <c r="G1185" s="18" t="s">
        <v>1111</v>
      </c>
      <c r="H1185" s="18">
        <v>39174000</v>
      </c>
      <c r="I1185" s="17">
        <v>0.18</v>
      </c>
      <c r="J1185" s="18" t="s">
        <v>2655</v>
      </c>
    </row>
    <row r="1186" spans="1:10" ht="13" x14ac:dyDescent="0.3">
      <c r="A1186" s="34" t="s">
        <v>1289</v>
      </c>
      <c r="B1186" s="23" t="s">
        <v>2014</v>
      </c>
      <c r="C1186" s="13" t="s">
        <v>1016</v>
      </c>
      <c r="D1186" s="18">
        <v>30</v>
      </c>
      <c r="E1186" s="15">
        <v>79</v>
      </c>
      <c r="F1186" s="23" t="s">
        <v>1286</v>
      </c>
      <c r="G1186" s="18" t="s">
        <v>1111</v>
      </c>
      <c r="H1186" s="18">
        <v>39174000</v>
      </c>
      <c r="I1186" s="17">
        <v>0.18</v>
      </c>
      <c r="J1186" s="18" t="s">
        <v>2655</v>
      </c>
    </row>
    <row r="1187" spans="1:10" ht="13" x14ac:dyDescent="0.3">
      <c r="A1187" s="34" t="s">
        <v>1290</v>
      </c>
      <c r="B1187" s="23" t="s">
        <v>2015</v>
      </c>
      <c r="C1187" s="13" t="s">
        <v>1018</v>
      </c>
      <c r="D1187" s="18">
        <v>20</v>
      </c>
      <c r="E1187" s="15">
        <v>84</v>
      </c>
      <c r="F1187" s="23" t="s">
        <v>1286</v>
      </c>
      <c r="G1187" s="18" t="s">
        <v>1111</v>
      </c>
      <c r="H1187" s="18">
        <v>39174000</v>
      </c>
      <c r="I1187" s="17">
        <v>0.18</v>
      </c>
      <c r="J1187" s="18" t="s">
        <v>2655</v>
      </c>
    </row>
    <row r="1188" spans="1:10" ht="13" x14ac:dyDescent="0.3">
      <c r="A1188" s="34" t="s">
        <v>1291</v>
      </c>
      <c r="B1188" s="23" t="s">
        <v>2016</v>
      </c>
      <c r="C1188" s="13" t="s">
        <v>1020</v>
      </c>
      <c r="D1188" s="18">
        <v>10</v>
      </c>
      <c r="E1188" s="15">
        <v>127</v>
      </c>
      <c r="F1188" s="23" t="s">
        <v>1286</v>
      </c>
      <c r="G1188" s="18" t="s">
        <v>1111</v>
      </c>
      <c r="H1188" s="18">
        <v>39174000</v>
      </c>
      <c r="I1188" s="17">
        <v>0.18</v>
      </c>
      <c r="J1188" s="18" t="s">
        <v>2655</v>
      </c>
    </row>
    <row r="1189" spans="1:10" ht="13" x14ac:dyDescent="0.3">
      <c r="A1189" s="34" t="s">
        <v>1292</v>
      </c>
      <c r="B1189" s="23" t="s">
        <v>2017</v>
      </c>
      <c r="C1189" s="13" t="s">
        <v>1022</v>
      </c>
      <c r="D1189" s="18">
        <v>5</v>
      </c>
      <c r="E1189" s="15">
        <v>341</v>
      </c>
      <c r="F1189" s="23" t="s">
        <v>1293</v>
      </c>
      <c r="G1189" s="18" t="s">
        <v>1111</v>
      </c>
      <c r="H1189" s="18">
        <v>39174000</v>
      </c>
      <c r="I1189" s="17">
        <v>0.18</v>
      </c>
      <c r="J1189" s="18" t="s">
        <v>2655</v>
      </c>
    </row>
    <row r="1190" spans="1:10" ht="13" x14ac:dyDescent="0.3">
      <c r="A1190" s="34" t="s">
        <v>1294</v>
      </c>
      <c r="B1190" s="23" t="s">
        <v>2018</v>
      </c>
      <c r="C1190" s="13" t="s">
        <v>1024</v>
      </c>
      <c r="D1190" s="18">
        <v>2</v>
      </c>
      <c r="E1190" s="15">
        <v>365</v>
      </c>
      <c r="F1190" s="23" t="s">
        <v>1293</v>
      </c>
      <c r="G1190" s="18" t="s">
        <v>1111</v>
      </c>
      <c r="H1190" s="18">
        <v>39174000</v>
      </c>
      <c r="I1190" s="17">
        <v>0.18</v>
      </c>
      <c r="J1190" s="18" t="s">
        <v>2655</v>
      </c>
    </row>
    <row r="1191" spans="1:10" ht="13" x14ac:dyDescent="0.3">
      <c r="A1191" s="34" t="s">
        <v>1295</v>
      </c>
      <c r="B1191" s="23" t="s">
        <v>2019</v>
      </c>
      <c r="C1191" s="13" t="s">
        <v>1026</v>
      </c>
      <c r="D1191" s="18">
        <v>1</v>
      </c>
      <c r="E1191" s="15">
        <v>370</v>
      </c>
      <c r="F1191" s="23" t="s">
        <v>1293</v>
      </c>
      <c r="G1191" s="18" t="s">
        <v>1111</v>
      </c>
      <c r="H1191" s="18">
        <v>39174000</v>
      </c>
      <c r="I1191" s="17">
        <v>0.18</v>
      </c>
      <c r="J1191" s="18" t="s">
        <v>2655</v>
      </c>
    </row>
    <row r="1192" spans="1:10" ht="13" x14ac:dyDescent="0.3">
      <c r="A1192" s="34" t="s">
        <v>1296</v>
      </c>
      <c r="B1192" s="23" t="s">
        <v>2020</v>
      </c>
      <c r="C1192" s="13">
        <v>40</v>
      </c>
      <c r="D1192" s="18">
        <v>1</v>
      </c>
      <c r="E1192" s="15">
        <v>106</v>
      </c>
      <c r="F1192" s="23" t="s">
        <v>1297</v>
      </c>
      <c r="G1192" s="18" t="s">
        <v>1111</v>
      </c>
      <c r="H1192" s="18">
        <v>39174000</v>
      </c>
      <c r="I1192" s="17">
        <v>0.18</v>
      </c>
      <c r="J1192" s="18" t="s">
        <v>2655</v>
      </c>
    </row>
    <row r="1193" spans="1:10" ht="13" x14ac:dyDescent="0.3">
      <c r="A1193" s="34" t="s">
        <v>1298</v>
      </c>
      <c r="B1193" s="23" t="s">
        <v>2021</v>
      </c>
      <c r="C1193" s="13">
        <v>50</v>
      </c>
      <c r="D1193" s="18">
        <v>1</v>
      </c>
      <c r="E1193" s="15">
        <v>169</v>
      </c>
      <c r="F1193" s="23" t="s">
        <v>1297</v>
      </c>
      <c r="G1193" s="18" t="s">
        <v>1111</v>
      </c>
      <c r="H1193" s="18">
        <v>39174000</v>
      </c>
      <c r="I1193" s="17">
        <v>0.18</v>
      </c>
      <c r="J1193" s="18" t="s">
        <v>2655</v>
      </c>
    </row>
    <row r="1194" spans="1:10" ht="13" x14ac:dyDescent="0.3">
      <c r="A1194" s="34" t="s">
        <v>1299</v>
      </c>
      <c r="B1194" s="23" t="s">
        <v>2022</v>
      </c>
      <c r="C1194" s="13">
        <v>63</v>
      </c>
      <c r="D1194" s="18">
        <v>50</v>
      </c>
      <c r="E1194" s="15">
        <v>231</v>
      </c>
      <c r="F1194" s="23" t="s">
        <v>1297</v>
      </c>
      <c r="G1194" s="18" t="s">
        <v>1111</v>
      </c>
      <c r="H1194" s="18">
        <v>39174000</v>
      </c>
      <c r="I1194" s="17">
        <v>0.18</v>
      </c>
      <c r="J1194" s="18" t="s">
        <v>2655</v>
      </c>
    </row>
    <row r="1195" spans="1:10" ht="13" x14ac:dyDescent="0.3">
      <c r="A1195" s="34" t="s">
        <v>1300</v>
      </c>
      <c r="B1195" s="23" t="s">
        <v>2023</v>
      </c>
      <c r="C1195" s="13">
        <v>75</v>
      </c>
      <c r="D1195" s="18">
        <v>40</v>
      </c>
      <c r="E1195" s="15">
        <v>309</v>
      </c>
      <c r="F1195" s="23" t="s">
        <v>1297</v>
      </c>
      <c r="G1195" s="18" t="s">
        <v>1111</v>
      </c>
      <c r="H1195" s="18">
        <v>39174000</v>
      </c>
      <c r="I1195" s="17">
        <v>0.18</v>
      </c>
      <c r="J1195" s="18" t="s">
        <v>2655</v>
      </c>
    </row>
    <row r="1196" spans="1:10" ht="13" x14ac:dyDescent="0.3">
      <c r="A1196" s="34" t="s">
        <v>1301</v>
      </c>
      <c r="B1196" s="23" t="s">
        <v>2024</v>
      </c>
      <c r="C1196" s="13">
        <v>90</v>
      </c>
      <c r="D1196" s="18">
        <v>20</v>
      </c>
      <c r="E1196" s="15">
        <v>697</v>
      </c>
      <c r="F1196" s="23" t="s">
        <v>1297</v>
      </c>
      <c r="G1196" s="18" t="s">
        <v>1111</v>
      </c>
      <c r="H1196" s="18">
        <v>39174000</v>
      </c>
      <c r="I1196" s="17">
        <v>0.18</v>
      </c>
      <c r="J1196" s="18" t="s">
        <v>2655</v>
      </c>
    </row>
    <row r="1197" spans="1:10" ht="13" x14ac:dyDescent="0.3">
      <c r="A1197" s="34" t="s">
        <v>1302</v>
      </c>
      <c r="B1197" s="23" t="s">
        <v>2025</v>
      </c>
      <c r="C1197" s="13">
        <v>110</v>
      </c>
      <c r="D1197" s="18">
        <v>50</v>
      </c>
      <c r="E1197" s="15">
        <v>780</v>
      </c>
      <c r="F1197" s="23" t="s">
        <v>1297</v>
      </c>
      <c r="G1197" s="18" t="s">
        <v>1111</v>
      </c>
      <c r="H1197" s="18">
        <v>39174000</v>
      </c>
      <c r="I1197" s="17">
        <v>0.18</v>
      </c>
      <c r="J1197" s="18" t="s">
        <v>2655</v>
      </c>
    </row>
    <row r="1198" spans="1:10" ht="13" x14ac:dyDescent="0.3">
      <c r="A1198" s="34" t="s">
        <v>1303</v>
      </c>
      <c r="B1198" s="23" t="s">
        <v>2026</v>
      </c>
      <c r="C1198" s="13">
        <v>125</v>
      </c>
      <c r="D1198" s="18">
        <v>40</v>
      </c>
      <c r="E1198" s="15">
        <v>2289</v>
      </c>
      <c r="F1198" s="23" t="s">
        <v>1297</v>
      </c>
      <c r="G1198" s="18" t="s">
        <v>1111</v>
      </c>
      <c r="H1198" s="18">
        <v>39174000</v>
      </c>
      <c r="I1198" s="17">
        <v>0.18</v>
      </c>
      <c r="J1198" s="18" t="s">
        <v>2655</v>
      </c>
    </row>
    <row r="1199" spans="1:10" ht="13" x14ac:dyDescent="0.3">
      <c r="A1199" s="34" t="s">
        <v>1274</v>
      </c>
      <c r="B1199" s="23" t="s">
        <v>2027</v>
      </c>
      <c r="C1199" s="13">
        <v>20</v>
      </c>
      <c r="D1199" s="18">
        <v>20</v>
      </c>
      <c r="E1199" s="15">
        <v>60</v>
      </c>
      <c r="F1199" s="23" t="s">
        <v>1275</v>
      </c>
      <c r="G1199" s="18" t="s">
        <v>1111</v>
      </c>
      <c r="H1199" s="18">
        <v>39174000</v>
      </c>
      <c r="I1199" s="17">
        <v>0.18</v>
      </c>
      <c r="J1199" s="18" t="s">
        <v>2655</v>
      </c>
    </row>
    <row r="1200" spans="1:10" ht="13" x14ac:dyDescent="0.3">
      <c r="A1200" s="34" t="s">
        <v>1276</v>
      </c>
      <c r="B1200" s="23" t="s">
        <v>2028</v>
      </c>
      <c r="C1200" s="13">
        <v>25</v>
      </c>
      <c r="D1200" s="18">
        <v>20</v>
      </c>
      <c r="E1200" s="15">
        <v>70</v>
      </c>
      <c r="F1200" s="23" t="s">
        <v>1275</v>
      </c>
      <c r="G1200" s="18" t="s">
        <v>1111</v>
      </c>
      <c r="H1200" s="18">
        <v>39174000</v>
      </c>
      <c r="I1200" s="17">
        <v>0.18</v>
      </c>
      <c r="J1200" s="18" t="s">
        <v>2655</v>
      </c>
    </row>
    <row r="1201" spans="1:10" ht="13" x14ac:dyDescent="0.3">
      <c r="A1201" s="34" t="s">
        <v>1277</v>
      </c>
      <c r="B1201" s="23" t="s">
        <v>2029</v>
      </c>
      <c r="C1201" s="13">
        <v>32</v>
      </c>
      <c r="D1201" s="18">
        <v>20</v>
      </c>
      <c r="E1201" s="15">
        <v>103</v>
      </c>
      <c r="F1201" s="23" t="s">
        <v>1275</v>
      </c>
      <c r="G1201" s="18" t="s">
        <v>1111</v>
      </c>
      <c r="H1201" s="18">
        <v>39174000</v>
      </c>
      <c r="I1201" s="17">
        <v>0.18</v>
      </c>
      <c r="J1201" s="18" t="s">
        <v>2655</v>
      </c>
    </row>
    <row r="1202" spans="1:10" ht="13" x14ac:dyDescent="0.3">
      <c r="A1202" s="34" t="s">
        <v>1278</v>
      </c>
      <c r="B1202" s="23" t="s">
        <v>2030</v>
      </c>
      <c r="C1202" s="13">
        <v>40</v>
      </c>
      <c r="D1202" s="18">
        <v>20</v>
      </c>
      <c r="E1202" s="15">
        <v>139</v>
      </c>
      <c r="F1202" s="23" t="s">
        <v>1275</v>
      </c>
      <c r="G1202" s="18" t="s">
        <v>1111</v>
      </c>
      <c r="H1202" s="18">
        <v>39174000</v>
      </c>
      <c r="I1202" s="17">
        <v>0.18</v>
      </c>
      <c r="J1202" s="18" t="s">
        <v>2655</v>
      </c>
    </row>
    <row r="1203" spans="1:10" ht="13" x14ac:dyDescent="0.3">
      <c r="A1203" s="34" t="s">
        <v>1279</v>
      </c>
      <c r="B1203" s="23" t="s">
        <v>2031</v>
      </c>
      <c r="C1203" s="13">
        <v>50</v>
      </c>
      <c r="D1203" s="18">
        <v>20</v>
      </c>
      <c r="E1203" s="15">
        <v>236</v>
      </c>
      <c r="F1203" s="23" t="s">
        <v>1275</v>
      </c>
      <c r="G1203" s="18" t="s">
        <v>1111</v>
      </c>
      <c r="H1203" s="18">
        <v>39174000</v>
      </c>
      <c r="I1203" s="17">
        <v>0.18</v>
      </c>
      <c r="J1203" s="18" t="s">
        <v>2655</v>
      </c>
    </row>
    <row r="1204" spans="1:10" ht="13" x14ac:dyDescent="0.3">
      <c r="A1204" s="34" t="s">
        <v>1280</v>
      </c>
      <c r="B1204" s="23" t="s">
        <v>2032</v>
      </c>
      <c r="C1204" s="13">
        <v>63</v>
      </c>
      <c r="D1204" s="18">
        <v>20</v>
      </c>
      <c r="E1204" s="15">
        <v>367</v>
      </c>
      <c r="F1204" s="23" t="s">
        <v>1275</v>
      </c>
      <c r="G1204" s="18" t="s">
        <v>1111</v>
      </c>
      <c r="H1204" s="18">
        <v>39174000</v>
      </c>
      <c r="I1204" s="17">
        <v>0.18</v>
      </c>
      <c r="J1204" s="18" t="s">
        <v>2655</v>
      </c>
    </row>
    <row r="1205" spans="1:10" ht="13" x14ac:dyDescent="0.3">
      <c r="A1205" s="34" t="s">
        <v>1281</v>
      </c>
      <c r="B1205" s="23" t="s">
        <v>2033</v>
      </c>
      <c r="C1205" s="13">
        <v>75</v>
      </c>
      <c r="D1205" s="18">
        <v>20</v>
      </c>
      <c r="E1205" s="15">
        <v>745</v>
      </c>
      <c r="F1205" s="23" t="s">
        <v>1275</v>
      </c>
      <c r="G1205" s="18" t="s">
        <v>1111</v>
      </c>
      <c r="H1205" s="18">
        <v>39174000</v>
      </c>
      <c r="I1205" s="17">
        <v>0.18</v>
      </c>
      <c r="J1205" s="18" t="s">
        <v>2655</v>
      </c>
    </row>
    <row r="1206" spans="1:10" ht="13" x14ac:dyDescent="0.3">
      <c r="A1206" s="34" t="s">
        <v>1282</v>
      </c>
      <c r="B1206" s="23" t="s">
        <v>2034</v>
      </c>
      <c r="C1206" s="13">
        <v>90</v>
      </c>
      <c r="D1206" s="18">
        <v>20</v>
      </c>
      <c r="E1206" s="15">
        <v>1243</v>
      </c>
      <c r="F1206" s="23" t="s">
        <v>1275</v>
      </c>
      <c r="G1206" s="18" t="s">
        <v>1111</v>
      </c>
      <c r="H1206" s="18">
        <v>39174000</v>
      </c>
      <c r="I1206" s="17">
        <v>0.18</v>
      </c>
      <c r="J1206" s="18" t="s">
        <v>2655</v>
      </c>
    </row>
    <row r="1207" spans="1:10" ht="13" x14ac:dyDescent="0.3">
      <c r="A1207" s="34" t="s">
        <v>1283</v>
      </c>
      <c r="B1207" s="23" t="s">
        <v>2035</v>
      </c>
      <c r="C1207" s="13">
        <v>110</v>
      </c>
      <c r="D1207" s="18">
        <v>20</v>
      </c>
      <c r="E1207" s="15">
        <v>2420</v>
      </c>
      <c r="F1207" s="23" t="s">
        <v>1275</v>
      </c>
      <c r="G1207" s="18" t="s">
        <v>1111</v>
      </c>
      <c r="H1207" s="18">
        <v>39174000</v>
      </c>
      <c r="I1207" s="17">
        <v>0.18</v>
      </c>
      <c r="J1207" s="18" t="s">
        <v>2655</v>
      </c>
    </row>
    <row r="1208" spans="1:10" ht="13" x14ac:dyDescent="0.3">
      <c r="A1208" s="34" t="s">
        <v>1284</v>
      </c>
      <c r="B1208" s="23" t="s">
        <v>2036</v>
      </c>
      <c r="C1208" s="13">
        <v>125</v>
      </c>
      <c r="D1208" s="18">
        <v>1</v>
      </c>
      <c r="E1208" s="15">
        <v>2781</v>
      </c>
      <c r="F1208" s="23" t="s">
        <v>1275</v>
      </c>
      <c r="G1208" s="18" t="s">
        <v>1111</v>
      </c>
      <c r="H1208" s="18">
        <v>39174000</v>
      </c>
      <c r="I1208" s="17">
        <v>0.18</v>
      </c>
      <c r="J1208" s="18" t="s">
        <v>2655</v>
      </c>
    </row>
    <row r="1209" spans="1:10" ht="13" x14ac:dyDescent="0.3">
      <c r="A1209" s="34" t="s">
        <v>2037</v>
      </c>
      <c r="B1209" s="23" t="s">
        <v>2038</v>
      </c>
      <c r="C1209" s="13">
        <v>160</v>
      </c>
      <c r="D1209" s="18">
        <v>1</v>
      </c>
      <c r="E1209" s="15">
        <v>2282</v>
      </c>
      <c r="F1209" s="23" t="s">
        <v>1275</v>
      </c>
      <c r="G1209" s="18" t="s">
        <v>1111</v>
      </c>
      <c r="H1209" s="18">
        <v>39174000</v>
      </c>
      <c r="I1209" s="17">
        <v>0.18</v>
      </c>
      <c r="J1209" s="18" t="s">
        <v>2655</v>
      </c>
    </row>
    <row r="1210" spans="1:10" ht="13" x14ac:dyDescent="0.3">
      <c r="A1210" s="34" t="s">
        <v>1250</v>
      </c>
      <c r="B1210" s="23" t="s">
        <v>2039</v>
      </c>
      <c r="C1210" s="13">
        <v>20</v>
      </c>
      <c r="D1210" s="18">
        <v>1</v>
      </c>
      <c r="E1210" s="15">
        <v>248</v>
      </c>
      <c r="F1210" s="23" t="s">
        <v>2049</v>
      </c>
      <c r="G1210" s="18" t="s">
        <v>1111</v>
      </c>
      <c r="H1210" s="18">
        <v>39174000</v>
      </c>
      <c r="I1210" s="17">
        <v>0.18</v>
      </c>
      <c r="J1210" s="18" t="s">
        <v>2655</v>
      </c>
    </row>
    <row r="1211" spans="1:10" ht="13" x14ac:dyDescent="0.3">
      <c r="A1211" s="34" t="s">
        <v>1251</v>
      </c>
      <c r="B1211" s="23" t="s">
        <v>2040</v>
      </c>
      <c r="C1211" s="13">
        <v>25</v>
      </c>
      <c r="D1211" s="18">
        <v>1</v>
      </c>
      <c r="E1211" s="15">
        <v>204</v>
      </c>
      <c r="F1211" s="23" t="s">
        <v>2049</v>
      </c>
      <c r="G1211" s="18" t="s">
        <v>1111</v>
      </c>
      <c r="H1211" s="18">
        <v>39174000</v>
      </c>
      <c r="I1211" s="17">
        <v>0.18</v>
      </c>
      <c r="J1211" s="18" t="s">
        <v>2655</v>
      </c>
    </row>
    <row r="1212" spans="1:10" ht="13" x14ac:dyDescent="0.3">
      <c r="A1212" s="34" t="s">
        <v>1252</v>
      </c>
      <c r="B1212" s="23" t="s">
        <v>2041</v>
      </c>
      <c r="C1212" s="13">
        <v>32</v>
      </c>
      <c r="D1212" s="18">
        <v>1</v>
      </c>
      <c r="E1212" s="15">
        <v>402</v>
      </c>
      <c r="F1212" s="23" t="s">
        <v>2049</v>
      </c>
      <c r="G1212" s="18" t="s">
        <v>1111</v>
      </c>
      <c r="H1212" s="18">
        <v>39174000</v>
      </c>
      <c r="I1212" s="17">
        <v>0.18</v>
      </c>
      <c r="J1212" s="18" t="s">
        <v>2655</v>
      </c>
    </row>
    <row r="1213" spans="1:10" ht="13" x14ac:dyDescent="0.3">
      <c r="A1213" s="34" t="s">
        <v>1304</v>
      </c>
      <c r="B1213" s="23" t="s">
        <v>2042</v>
      </c>
      <c r="C1213" s="13" t="s">
        <v>721</v>
      </c>
      <c r="D1213" s="18">
        <v>1</v>
      </c>
      <c r="E1213" s="15">
        <v>3637</v>
      </c>
      <c r="F1213" s="23" t="s">
        <v>1305</v>
      </c>
      <c r="G1213" s="18" t="s">
        <v>1111</v>
      </c>
      <c r="H1213" s="18">
        <v>39174000</v>
      </c>
      <c r="I1213" s="17">
        <v>0.18</v>
      </c>
      <c r="J1213" s="18" t="s">
        <v>2655</v>
      </c>
    </row>
    <row r="1214" spans="1:10" ht="13" x14ac:dyDescent="0.3">
      <c r="A1214" s="34" t="s">
        <v>1307</v>
      </c>
      <c r="B1214" s="23" t="s">
        <v>2043</v>
      </c>
      <c r="C1214" s="13" t="s">
        <v>724</v>
      </c>
      <c r="D1214" s="18">
        <v>1</v>
      </c>
      <c r="E1214" s="15">
        <v>5433</v>
      </c>
      <c r="F1214" s="23" t="s">
        <v>1305</v>
      </c>
      <c r="G1214" s="18" t="s">
        <v>1111</v>
      </c>
      <c r="H1214" s="18">
        <v>39174000</v>
      </c>
      <c r="I1214" s="17">
        <v>0.18</v>
      </c>
      <c r="J1214" s="18" t="s">
        <v>2655</v>
      </c>
    </row>
    <row r="1215" spans="1:10" ht="13" x14ac:dyDescent="0.3">
      <c r="A1215" s="34" t="s">
        <v>1308</v>
      </c>
      <c r="B1215" s="23" t="s">
        <v>2044</v>
      </c>
      <c r="C1215" s="13" t="s">
        <v>726</v>
      </c>
      <c r="D1215" s="18">
        <v>0</v>
      </c>
      <c r="E1215" s="15">
        <v>7832</v>
      </c>
      <c r="F1215" s="23" t="s">
        <v>1305</v>
      </c>
      <c r="G1215" s="18" t="s">
        <v>1306</v>
      </c>
      <c r="H1215" s="18">
        <v>39174000</v>
      </c>
      <c r="I1215" s="17">
        <v>0.18</v>
      </c>
      <c r="J1215" s="18" t="s">
        <v>2655</v>
      </c>
    </row>
    <row r="1216" spans="1:10" ht="13" x14ac:dyDescent="0.3">
      <c r="A1216" s="34" t="s">
        <v>1309</v>
      </c>
      <c r="B1216" s="23" t="s">
        <v>2045</v>
      </c>
      <c r="C1216" s="13" t="s">
        <v>727</v>
      </c>
      <c r="D1216" s="18">
        <v>0</v>
      </c>
      <c r="E1216" s="15">
        <v>12225</v>
      </c>
      <c r="F1216" s="23" t="s">
        <v>1305</v>
      </c>
      <c r="G1216" s="18" t="s">
        <v>1306</v>
      </c>
      <c r="H1216" s="18">
        <v>39174000</v>
      </c>
      <c r="I1216" s="17">
        <v>0.18</v>
      </c>
      <c r="J1216" s="18" t="s">
        <v>2655</v>
      </c>
    </row>
    <row r="1217" spans="1:10" ht="13" x14ac:dyDescent="0.3">
      <c r="A1217" s="34" t="s">
        <v>1310</v>
      </c>
      <c r="B1217" s="23" t="s">
        <v>2046</v>
      </c>
      <c r="C1217" s="13" t="s">
        <v>728</v>
      </c>
      <c r="D1217" s="18">
        <v>0</v>
      </c>
      <c r="E1217" s="15">
        <v>19008</v>
      </c>
      <c r="F1217" s="23" t="s">
        <v>1305</v>
      </c>
      <c r="G1217" s="18" t="s">
        <v>1306</v>
      </c>
      <c r="H1217" s="18">
        <v>39174000</v>
      </c>
      <c r="I1217" s="17">
        <v>0.18</v>
      </c>
      <c r="J1217" s="18" t="s">
        <v>2655</v>
      </c>
    </row>
    <row r="1218" spans="1:10" ht="13" x14ac:dyDescent="0.3">
      <c r="A1218" s="34" t="s">
        <v>1311</v>
      </c>
      <c r="B1218" s="23" t="s">
        <v>1078</v>
      </c>
      <c r="C1218" s="13">
        <v>40</v>
      </c>
      <c r="D1218" s="18">
        <v>1</v>
      </c>
      <c r="E1218" s="15">
        <v>3622</v>
      </c>
      <c r="F1218" s="23" t="s">
        <v>1312</v>
      </c>
      <c r="G1218" s="18" t="s">
        <v>1313</v>
      </c>
      <c r="H1218" s="18">
        <v>39174000</v>
      </c>
      <c r="I1218" s="17">
        <v>0.18</v>
      </c>
      <c r="J1218" s="18" t="s">
        <v>2655</v>
      </c>
    </row>
    <row r="1219" spans="1:10" ht="13" x14ac:dyDescent="0.3">
      <c r="A1219" s="34" t="s">
        <v>1314</v>
      </c>
      <c r="B1219" s="23" t="s">
        <v>1078</v>
      </c>
      <c r="C1219" s="13">
        <v>50</v>
      </c>
      <c r="D1219" s="18">
        <v>1</v>
      </c>
      <c r="E1219" s="15">
        <v>3899</v>
      </c>
      <c r="F1219" s="23" t="s">
        <v>1312</v>
      </c>
      <c r="G1219" s="18" t="s">
        <v>1313</v>
      </c>
      <c r="H1219" s="18">
        <v>39174000</v>
      </c>
      <c r="I1219" s="17">
        <v>0.18</v>
      </c>
      <c r="J1219" s="18" t="s">
        <v>2655</v>
      </c>
    </row>
    <row r="1220" spans="1:10" ht="13" x14ac:dyDescent="0.3">
      <c r="A1220" s="34" t="s">
        <v>1315</v>
      </c>
      <c r="B1220" s="23" t="s">
        <v>1078</v>
      </c>
      <c r="C1220" s="13">
        <v>63</v>
      </c>
      <c r="D1220" s="18">
        <v>1</v>
      </c>
      <c r="E1220" s="15">
        <v>4464</v>
      </c>
      <c r="F1220" s="23" t="s">
        <v>1312</v>
      </c>
      <c r="G1220" s="18" t="s">
        <v>1313</v>
      </c>
      <c r="H1220" s="18">
        <v>39174000</v>
      </c>
      <c r="I1220" s="17">
        <v>0.18</v>
      </c>
      <c r="J1220" s="18" t="s">
        <v>2655</v>
      </c>
    </row>
    <row r="1221" spans="1:10" ht="13" x14ac:dyDescent="0.3">
      <c r="A1221" s="34" t="s">
        <v>1316</v>
      </c>
      <c r="B1221" s="23" t="s">
        <v>1078</v>
      </c>
      <c r="C1221" s="13">
        <v>75</v>
      </c>
      <c r="D1221" s="18">
        <v>1</v>
      </c>
      <c r="E1221" s="15">
        <v>5284</v>
      </c>
      <c r="F1221" s="23" t="s">
        <v>1312</v>
      </c>
      <c r="G1221" s="18" t="s">
        <v>1313</v>
      </c>
      <c r="H1221" s="18">
        <v>39174000</v>
      </c>
      <c r="I1221" s="17">
        <v>0.18</v>
      </c>
      <c r="J1221" s="18" t="s">
        <v>2655</v>
      </c>
    </row>
    <row r="1222" spans="1:10" ht="13" x14ac:dyDescent="0.3">
      <c r="A1222" s="34" t="s">
        <v>1317</v>
      </c>
      <c r="B1222" s="23" t="s">
        <v>1078</v>
      </c>
      <c r="C1222" s="13">
        <v>90</v>
      </c>
      <c r="D1222" s="18">
        <v>1</v>
      </c>
      <c r="E1222" s="15">
        <v>6362</v>
      </c>
      <c r="F1222" s="23" t="s">
        <v>1312</v>
      </c>
      <c r="G1222" s="18" t="s">
        <v>1313</v>
      </c>
      <c r="H1222" s="18">
        <v>39174000</v>
      </c>
      <c r="I1222" s="17">
        <v>0.18</v>
      </c>
      <c r="J1222" s="18" t="s">
        <v>2655</v>
      </c>
    </row>
    <row r="1223" spans="1:10" ht="13" x14ac:dyDescent="0.3">
      <c r="A1223" s="34" t="s">
        <v>1318</v>
      </c>
      <c r="B1223" s="23" t="s">
        <v>1078</v>
      </c>
      <c r="C1223" s="13">
        <v>110</v>
      </c>
      <c r="D1223" s="18">
        <v>1</v>
      </c>
      <c r="E1223" s="15">
        <v>9542</v>
      </c>
      <c r="F1223" s="23" t="s">
        <v>1312</v>
      </c>
      <c r="G1223" s="18" t="s">
        <v>1313</v>
      </c>
      <c r="H1223" s="18">
        <v>39174000</v>
      </c>
      <c r="I1223" s="17">
        <v>0.18</v>
      </c>
      <c r="J1223" s="18" t="s">
        <v>2655</v>
      </c>
    </row>
    <row r="1224" spans="1:10" ht="13" x14ac:dyDescent="0.3">
      <c r="A1224" s="34" t="s">
        <v>1319</v>
      </c>
      <c r="B1224" s="23" t="s">
        <v>1085</v>
      </c>
      <c r="C1224" s="13">
        <v>40</v>
      </c>
      <c r="D1224" s="18">
        <v>1</v>
      </c>
      <c r="E1224" s="15">
        <v>6054</v>
      </c>
      <c r="F1224" s="23" t="s">
        <v>1320</v>
      </c>
      <c r="G1224" s="18" t="s">
        <v>1313</v>
      </c>
      <c r="H1224" s="18">
        <v>39174000</v>
      </c>
      <c r="I1224" s="17">
        <v>0.18</v>
      </c>
      <c r="J1224" s="18" t="s">
        <v>2655</v>
      </c>
    </row>
    <row r="1225" spans="1:10" ht="13" x14ac:dyDescent="0.3">
      <c r="A1225" s="34" t="s">
        <v>1321</v>
      </c>
      <c r="B1225" s="23" t="s">
        <v>1085</v>
      </c>
      <c r="C1225" s="13">
        <v>50</v>
      </c>
      <c r="D1225" s="18">
        <v>1</v>
      </c>
      <c r="E1225" s="15">
        <v>6618</v>
      </c>
      <c r="F1225" s="23" t="s">
        <v>1320</v>
      </c>
      <c r="G1225" s="18" t="s">
        <v>1313</v>
      </c>
      <c r="H1225" s="18">
        <v>39174000</v>
      </c>
      <c r="I1225" s="17">
        <v>0.18</v>
      </c>
      <c r="J1225" s="18" t="s">
        <v>2655</v>
      </c>
    </row>
    <row r="1226" spans="1:10" ht="13" x14ac:dyDescent="0.3">
      <c r="A1226" s="34" t="s">
        <v>1322</v>
      </c>
      <c r="B1226" s="23" t="s">
        <v>1085</v>
      </c>
      <c r="C1226" s="13">
        <v>63</v>
      </c>
      <c r="D1226" s="18">
        <v>1</v>
      </c>
      <c r="E1226" s="15">
        <v>6464</v>
      </c>
      <c r="F1226" s="23" t="s">
        <v>1320</v>
      </c>
      <c r="G1226" s="18" t="s">
        <v>1313</v>
      </c>
      <c r="H1226" s="18">
        <v>39174000</v>
      </c>
      <c r="I1226" s="17">
        <v>0.18</v>
      </c>
      <c r="J1226" s="18" t="s">
        <v>2655</v>
      </c>
    </row>
    <row r="1227" spans="1:10" ht="13" x14ac:dyDescent="0.3">
      <c r="A1227" s="34" t="s">
        <v>1323</v>
      </c>
      <c r="B1227" s="23" t="s">
        <v>1085</v>
      </c>
      <c r="C1227" s="13">
        <v>75</v>
      </c>
      <c r="D1227" s="18">
        <v>1</v>
      </c>
      <c r="E1227" s="15">
        <v>9029</v>
      </c>
      <c r="F1227" s="23" t="s">
        <v>1320</v>
      </c>
      <c r="G1227" s="18" t="s">
        <v>1313</v>
      </c>
      <c r="H1227" s="18">
        <v>39174000</v>
      </c>
      <c r="I1227" s="17">
        <v>0.18</v>
      </c>
      <c r="J1227" s="18" t="s">
        <v>2655</v>
      </c>
    </row>
    <row r="1228" spans="1:10" ht="13" x14ac:dyDescent="0.3">
      <c r="A1228" s="34" t="s">
        <v>1324</v>
      </c>
      <c r="B1228" s="23" t="s">
        <v>1085</v>
      </c>
      <c r="C1228" s="13">
        <v>90</v>
      </c>
      <c r="D1228" s="18">
        <v>1</v>
      </c>
      <c r="E1228" s="15">
        <v>8537</v>
      </c>
      <c r="F1228" s="23" t="s">
        <v>1320</v>
      </c>
      <c r="G1228" s="18" t="s">
        <v>1313</v>
      </c>
      <c r="H1228" s="18">
        <v>39174000</v>
      </c>
      <c r="I1228" s="17">
        <v>0.18</v>
      </c>
      <c r="J1228" s="18" t="s">
        <v>2655</v>
      </c>
    </row>
    <row r="1229" spans="1:10" ht="13" x14ac:dyDescent="0.3">
      <c r="A1229" s="34" t="s">
        <v>1325</v>
      </c>
      <c r="B1229" s="23" t="s">
        <v>1085</v>
      </c>
      <c r="C1229" s="13">
        <v>110</v>
      </c>
      <c r="D1229" s="18">
        <v>1</v>
      </c>
      <c r="E1229" s="15">
        <v>11492</v>
      </c>
      <c r="F1229" s="23" t="s">
        <v>1320</v>
      </c>
      <c r="G1229" s="18" t="s">
        <v>1313</v>
      </c>
      <c r="H1229" s="18">
        <v>39174000</v>
      </c>
      <c r="I1229" s="17">
        <v>0.18</v>
      </c>
      <c r="J1229" s="18" t="s">
        <v>2655</v>
      </c>
    </row>
    <row r="1230" spans="1:10" ht="13" x14ac:dyDescent="0.3">
      <c r="A1230" s="34" t="s">
        <v>1326</v>
      </c>
      <c r="B1230" s="23" t="s">
        <v>1085</v>
      </c>
      <c r="C1230" s="13">
        <v>125</v>
      </c>
      <c r="D1230" s="18">
        <v>1</v>
      </c>
      <c r="E1230" s="15">
        <v>14364</v>
      </c>
      <c r="F1230" s="23" t="s">
        <v>1320</v>
      </c>
      <c r="G1230" s="18" t="s">
        <v>1313</v>
      </c>
      <c r="H1230" s="18">
        <v>39174000</v>
      </c>
      <c r="I1230" s="17">
        <v>0.18</v>
      </c>
      <c r="J1230" s="18" t="s">
        <v>2655</v>
      </c>
    </row>
    <row r="1231" spans="1:10" ht="13" x14ac:dyDescent="0.3">
      <c r="A1231" s="34" t="s">
        <v>317</v>
      </c>
      <c r="B1231" s="23" t="s">
        <v>2511</v>
      </c>
      <c r="C1231" s="13" t="s">
        <v>509</v>
      </c>
      <c r="D1231" s="18">
        <v>6</v>
      </c>
      <c r="E1231" s="102">
        <v>1274</v>
      </c>
      <c r="F1231" s="23" t="s">
        <v>2937</v>
      </c>
      <c r="G1231" s="18" t="s">
        <v>518</v>
      </c>
      <c r="H1231" s="18">
        <v>73072900</v>
      </c>
      <c r="I1231" s="17">
        <v>0.18</v>
      </c>
      <c r="J1231" s="18" t="s">
        <v>2656</v>
      </c>
    </row>
    <row r="1232" spans="1:10" ht="13" x14ac:dyDescent="0.3">
      <c r="A1232" s="34" t="s">
        <v>318</v>
      </c>
      <c r="B1232" s="23" t="s">
        <v>2511</v>
      </c>
      <c r="C1232" s="13" t="s">
        <v>510</v>
      </c>
      <c r="D1232" s="18">
        <v>6</v>
      </c>
      <c r="E1232" s="102">
        <v>2049</v>
      </c>
      <c r="F1232" s="23" t="s">
        <v>2937</v>
      </c>
      <c r="G1232" s="18" t="s">
        <v>518</v>
      </c>
      <c r="H1232" s="18">
        <v>73072900</v>
      </c>
      <c r="I1232" s="17">
        <v>0.18</v>
      </c>
      <c r="J1232" s="18" t="s">
        <v>2656</v>
      </c>
    </row>
    <row r="1233" spans="1:10" ht="13" x14ac:dyDescent="0.3">
      <c r="A1233" s="34" t="s">
        <v>319</v>
      </c>
      <c r="B1233" s="23" t="s">
        <v>2511</v>
      </c>
      <c r="C1233" s="13" t="s">
        <v>511</v>
      </c>
      <c r="D1233" s="18">
        <v>6</v>
      </c>
      <c r="E1233" s="102">
        <v>2846</v>
      </c>
      <c r="F1233" s="23" t="s">
        <v>2937</v>
      </c>
      <c r="G1233" s="18" t="s">
        <v>518</v>
      </c>
      <c r="H1233" s="18">
        <v>73072900</v>
      </c>
      <c r="I1233" s="17">
        <v>0.18</v>
      </c>
      <c r="J1233" s="18" t="s">
        <v>2656</v>
      </c>
    </row>
    <row r="1234" spans="1:10" ht="13" x14ac:dyDescent="0.3">
      <c r="A1234" s="34" t="s">
        <v>320</v>
      </c>
      <c r="B1234" s="23" t="s">
        <v>2511</v>
      </c>
      <c r="C1234" s="13" t="s">
        <v>512</v>
      </c>
      <c r="D1234" s="18">
        <v>6</v>
      </c>
      <c r="E1234" s="102">
        <v>4053</v>
      </c>
      <c r="F1234" s="23" t="s">
        <v>2937</v>
      </c>
      <c r="G1234" s="18" t="s">
        <v>518</v>
      </c>
      <c r="H1234" s="18">
        <v>73072900</v>
      </c>
      <c r="I1234" s="17">
        <v>0.18</v>
      </c>
      <c r="J1234" s="18" t="s">
        <v>2656</v>
      </c>
    </row>
    <row r="1235" spans="1:10" ht="13" x14ac:dyDescent="0.3">
      <c r="A1235" s="34" t="s">
        <v>321</v>
      </c>
      <c r="B1235" s="23" t="s">
        <v>2511</v>
      </c>
      <c r="C1235" s="13" t="s">
        <v>513</v>
      </c>
      <c r="D1235" s="18">
        <v>6</v>
      </c>
      <c r="E1235" s="102">
        <v>4773</v>
      </c>
      <c r="F1235" s="23" t="s">
        <v>2937</v>
      </c>
      <c r="G1235" s="18" t="s">
        <v>518</v>
      </c>
      <c r="H1235" s="18">
        <v>73072900</v>
      </c>
      <c r="I1235" s="17">
        <v>0.18</v>
      </c>
      <c r="J1235" s="18" t="s">
        <v>2656</v>
      </c>
    </row>
    <row r="1236" spans="1:10" ht="13" x14ac:dyDescent="0.3">
      <c r="A1236" s="34" t="s">
        <v>322</v>
      </c>
      <c r="B1236" s="23" t="s">
        <v>2511</v>
      </c>
      <c r="C1236" s="13" t="s">
        <v>514</v>
      </c>
      <c r="D1236" s="18">
        <v>6</v>
      </c>
      <c r="E1236" s="102">
        <v>6488</v>
      </c>
      <c r="F1236" s="23" t="s">
        <v>2937</v>
      </c>
      <c r="G1236" s="18" t="s">
        <v>518</v>
      </c>
      <c r="H1236" s="18">
        <v>73072900</v>
      </c>
      <c r="I1236" s="17">
        <v>0.18</v>
      </c>
      <c r="J1236" s="18" t="s">
        <v>2656</v>
      </c>
    </row>
    <row r="1237" spans="1:10" ht="13" x14ac:dyDescent="0.3">
      <c r="A1237" s="34" t="s">
        <v>323</v>
      </c>
      <c r="B1237" s="23" t="s">
        <v>2511</v>
      </c>
      <c r="C1237" s="13" t="s">
        <v>515</v>
      </c>
      <c r="D1237" s="18">
        <v>6</v>
      </c>
      <c r="E1237" s="102" t="s">
        <v>2936</v>
      </c>
      <c r="F1237" s="23" t="s">
        <v>2937</v>
      </c>
      <c r="G1237" s="18" t="s">
        <v>518</v>
      </c>
      <c r="H1237" s="18">
        <v>73072900</v>
      </c>
      <c r="I1237" s="17">
        <v>0.18</v>
      </c>
      <c r="J1237" s="18" t="s">
        <v>2656</v>
      </c>
    </row>
    <row r="1238" spans="1:10" ht="13" x14ac:dyDescent="0.3">
      <c r="A1238" s="34" t="s">
        <v>324</v>
      </c>
      <c r="B1238" s="23" t="s">
        <v>2511</v>
      </c>
      <c r="C1238" s="13" t="s">
        <v>516</v>
      </c>
      <c r="D1238" s="18">
        <v>6</v>
      </c>
      <c r="E1238" s="102" t="s">
        <v>2936</v>
      </c>
      <c r="F1238" s="23" t="s">
        <v>2937</v>
      </c>
      <c r="G1238" s="18" t="s">
        <v>518</v>
      </c>
      <c r="H1238" s="18">
        <v>73072900</v>
      </c>
      <c r="I1238" s="17">
        <v>0.18</v>
      </c>
      <c r="J1238" s="18" t="s">
        <v>2656</v>
      </c>
    </row>
    <row r="1239" spans="1:10" ht="13" x14ac:dyDescent="0.3">
      <c r="A1239" s="34" t="s">
        <v>325</v>
      </c>
      <c r="B1239" s="23" t="s">
        <v>2511</v>
      </c>
      <c r="C1239" s="13" t="s">
        <v>517</v>
      </c>
      <c r="D1239" s="18">
        <v>6</v>
      </c>
      <c r="E1239" s="102" t="s">
        <v>2936</v>
      </c>
      <c r="F1239" s="23" t="s">
        <v>2937</v>
      </c>
      <c r="G1239" s="18" t="s">
        <v>518</v>
      </c>
      <c r="H1239" s="18">
        <v>73072900</v>
      </c>
      <c r="I1239" s="17">
        <v>0.18</v>
      </c>
      <c r="J1239" s="18" t="s">
        <v>2656</v>
      </c>
    </row>
    <row r="1240" spans="1:10" ht="13" x14ac:dyDescent="0.3">
      <c r="A1240" s="34" t="s">
        <v>326</v>
      </c>
      <c r="B1240" s="23" t="s">
        <v>2512</v>
      </c>
      <c r="C1240" s="13" t="s">
        <v>1327</v>
      </c>
      <c r="D1240" s="18">
        <v>10</v>
      </c>
      <c r="E1240" s="15">
        <v>1834</v>
      </c>
      <c r="F1240" s="23" t="s">
        <v>2938</v>
      </c>
      <c r="G1240" s="18" t="s">
        <v>1328</v>
      </c>
      <c r="H1240" s="18">
        <v>73072980</v>
      </c>
      <c r="I1240" s="17">
        <v>0.18</v>
      </c>
      <c r="J1240" s="18" t="s">
        <v>2657</v>
      </c>
    </row>
    <row r="1241" spans="1:10" ht="13" x14ac:dyDescent="0.3">
      <c r="A1241" s="34" t="s">
        <v>327</v>
      </c>
      <c r="B1241" s="23" t="s">
        <v>2512</v>
      </c>
      <c r="C1241" s="13" t="s">
        <v>1329</v>
      </c>
      <c r="D1241" s="18">
        <v>10</v>
      </c>
      <c r="E1241" s="15">
        <v>3007</v>
      </c>
      <c r="F1241" s="23" t="s">
        <v>2938</v>
      </c>
      <c r="G1241" s="18" t="s">
        <v>1328</v>
      </c>
      <c r="H1241" s="18">
        <v>73072980</v>
      </c>
      <c r="I1241" s="17">
        <v>0.18</v>
      </c>
      <c r="J1241" s="18" t="s">
        <v>2657</v>
      </c>
    </row>
    <row r="1242" spans="1:10" ht="13" x14ac:dyDescent="0.3">
      <c r="A1242" s="34" t="s">
        <v>328</v>
      </c>
      <c r="B1242" s="23" t="s">
        <v>2512</v>
      </c>
      <c r="C1242" s="13" t="s">
        <v>1330</v>
      </c>
      <c r="D1242" s="18">
        <v>5</v>
      </c>
      <c r="E1242" s="15">
        <v>3619</v>
      </c>
      <c r="F1242" s="23" t="s">
        <v>2938</v>
      </c>
      <c r="G1242" s="18" t="s">
        <v>1328</v>
      </c>
      <c r="H1242" s="18">
        <v>73072980</v>
      </c>
      <c r="I1242" s="17">
        <v>0.18</v>
      </c>
      <c r="J1242" s="18" t="s">
        <v>2657</v>
      </c>
    </row>
    <row r="1243" spans="1:10" ht="13" x14ac:dyDescent="0.3">
      <c r="A1243" s="34" t="s">
        <v>329</v>
      </c>
      <c r="B1243" s="23" t="s">
        <v>2512</v>
      </c>
      <c r="C1243" s="13" t="s">
        <v>1331</v>
      </c>
      <c r="D1243" s="18">
        <v>5</v>
      </c>
      <c r="E1243" s="15">
        <v>4938</v>
      </c>
      <c r="F1243" s="23" t="s">
        <v>2938</v>
      </c>
      <c r="G1243" s="18" t="s">
        <v>1328</v>
      </c>
      <c r="H1243" s="18">
        <v>73072980</v>
      </c>
      <c r="I1243" s="17">
        <v>0.18</v>
      </c>
      <c r="J1243" s="18" t="s">
        <v>2657</v>
      </c>
    </row>
    <row r="1244" spans="1:10" ht="13" x14ac:dyDescent="0.3">
      <c r="A1244" s="34" t="s">
        <v>330</v>
      </c>
      <c r="B1244" s="23" t="s">
        <v>2512</v>
      </c>
      <c r="C1244" s="13" t="s">
        <v>1332</v>
      </c>
      <c r="D1244" s="18">
        <v>2</v>
      </c>
      <c r="E1244" s="15">
        <v>9089</v>
      </c>
      <c r="F1244" s="23" t="s">
        <v>2938</v>
      </c>
      <c r="G1244" s="18" t="s">
        <v>1328</v>
      </c>
      <c r="H1244" s="18">
        <v>73072980</v>
      </c>
      <c r="I1244" s="17">
        <v>0.18</v>
      </c>
      <c r="J1244" s="18" t="s">
        <v>2657</v>
      </c>
    </row>
    <row r="1245" spans="1:10" ht="13" x14ac:dyDescent="0.3">
      <c r="A1245" s="34" t="s">
        <v>331</v>
      </c>
      <c r="B1245" s="23" t="s">
        <v>2512</v>
      </c>
      <c r="C1245" s="13" t="s">
        <v>1333</v>
      </c>
      <c r="D1245" s="18">
        <v>2</v>
      </c>
      <c r="E1245" s="15">
        <v>10185</v>
      </c>
      <c r="F1245" s="23" t="s">
        <v>2938</v>
      </c>
      <c r="G1245" s="18" t="s">
        <v>1328</v>
      </c>
      <c r="H1245" s="18">
        <v>73072980</v>
      </c>
      <c r="I1245" s="17">
        <v>0.18</v>
      </c>
      <c r="J1245" s="18" t="s">
        <v>2657</v>
      </c>
    </row>
    <row r="1246" spans="1:10" ht="13" x14ac:dyDescent="0.3">
      <c r="A1246" s="34" t="s">
        <v>332</v>
      </c>
      <c r="B1246" s="23" t="s">
        <v>2513</v>
      </c>
      <c r="C1246" s="13" t="s">
        <v>1327</v>
      </c>
      <c r="D1246" s="18">
        <v>10</v>
      </c>
      <c r="E1246" s="15">
        <v>2445</v>
      </c>
      <c r="F1246" s="23" t="s">
        <v>2939</v>
      </c>
      <c r="G1246" s="18" t="s">
        <v>1328</v>
      </c>
      <c r="H1246" s="18">
        <v>73072980</v>
      </c>
      <c r="I1246" s="17">
        <v>0.18</v>
      </c>
      <c r="J1246" s="18" t="s">
        <v>2657</v>
      </c>
    </row>
    <row r="1247" spans="1:10" ht="13" x14ac:dyDescent="0.3">
      <c r="A1247" s="34" t="s">
        <v>333</v>
      </c>
      <c r="B1247" s="23" t="s">
        <v>2513</v>
      </c>
      <c r="C1247" s="13" t="s">
        <v>1340</v>
      </c>
      <c r="D1247" s="18">
        <v>10</v>
      </c>
      <c r="E1247" s="15">
        <v>2202</v>
      </c>
      <c r="F1247" s="23" t="s">
        <v>2939</v>
      </c>
      <c r="G1247" s="18" t="s">
        <v>1328</v>
      </c>
      <c r="H1247" s="18">
        <v>73072980</v>
      </c>
      <c r="I1247" s="17">
        <v>0.18</v>
      </c>
      <c r="J1247" s="18" t="s">
        <v>2657</v>
      </c>
    </row>
    <row r="1248" spans="1:10" ht="13" x14ac:dyDescent="0.3">
      <c r="A1248" s="34" t="s">
        <v>334</v>
      </c>
      <c r="B1248" s="23" t="s">
        <v>2513</v>
      </c>
      <c r="C1248" s="13" t="s">
        <v>1329</v>
      </c>
      <c r="D1248" s="18">
        <v>10</v>
      </c>
      <c r="E1248" s="15">
        <v>3007</v>
      </c>
      <c r="F1248" s="23" t="s">
        <v>2939</v>
      </c>
      <c r="G1248" s="18" t="s">
        <v>1328</v>
      </c>
      <c r="H1248" s="18">
        <v>73072980</v>
      </c>
      <c r="I1248" s="17">
        <v>0.18</v>
      </c>
      <c r="J1248" s="18" t="s">
        <v>2657</v>
      </c>
    </row>
    <row r="1249" spans="1:10" ht="13" x14ac:dyDescent="0.3">
      <c r="A1249" s="34" t="s">
        <v>335</v>
      </c>
      <c r="B1249" s="23" t="s">
        <v>2513</v>
      </c>
      <c r="C1249" s="13" t="s">
        <v>1330</v>
      </c>
      <c r="D1249" s="18">
        <v>5</v>
      </c>
      <c r="E1249" s="15">
        <v>3619</v>
      </c>
      <c r="F1249" s="23" t="s">
        <v>2939</v>
      </c>
      <c r="G1249" s="18" t="s">
        <v>1328</v>
      </c>
      <c r="H1249" s="18">
        <v>73072980</v>
      </c>
      <c r="I1249" s="17">
        <v>0.18</v>
      </c>
      <c r="J1249" s="18" t="s">
        <v>2657</v>
      </c>
    </row>
    <row r="1250" spans="1:10" ht="13" x14ac:dyDescent="0.3">
      <c r="A1250" s="34" t="s">
        <v>336</v>
      </c>
      <c r="B1250" s="23" t="s">
        <v>2513</v>
      </c>
      <c r="C1250" s="13" t="s">
        <v>1337</v>
      </c>
      <c r="D1250" s="18">
        <v>5</v>
      </c>
      <c r="E1250" s="15">
        <v>4938</v>
      </c>
      <c r="F1250" s="23" t="s">
        <v>2939</v>
      </c>
      <c r="G1250" s="18" t="s">
        <v>1328</v>
      </c>
      <c r="H1250" s="18">
        <v>73072980</v>
      </c>
      <c r="I1250" s="17">
        <v>0.18</v>
      </c>
      <c r="J1250" s="18" t="s">
        <v>2657</v>
      </c>
    </row>
    <row r="1251" spans="1:10" ht="13" x14ac:dyDescent="0.3">
      <c r="A1251" s="34" t="s">
        <v>337</v>
      </c>
      <c r="B1251" s="23" t="s">
        <v>2512</v>
      </c>
      <c r="C1251" s="13" t="s">
        <v>1334</v>
      </c>
      <c r="D1251" s="18">
        <v>10</v>
      </c>
      <c r="E1251" s="15">
        <v>1778</v>
      </c>
      <c r="F1251" s="23" t="s">
        <v>2938</v>
      </c>
      <c r="G1251" s="18" t="s">
        <v>1328</v>
      </c>
      <c r="H1251" s="18">
        <v>73072980</v>
      </c>
      <c r="I1251" s="17">
        <v>0.18</v>
      </c>
      <c r="J1251" s="18" t="s">
        <v>2657</v>
      </c>
    </row>
    <row r="1252" spans="1:10" ht="13" x14ac:dyDescent="0.3">
      <c r="A1252" s="34" t="s">
        <v>338</v>
      </c>
      <c r="B1252" s="23" t="s">
        <v>2514</v>
      </c>
      <c r="C1252" s="13" t="s">
        <v>1341</v>
      </c>
      <c r="D1252" s="18">
        <v>10</v>
      </c>
      <c r="E1252" s="15">
        <v>2144</v>
      </c>
      <c r="F1252" s="23" t="s">
        <v>2940</v>
      </c>
      <c r="G1252" s="18" t="s">
        <v>1328</v>
      </c>
      <c r="H1252" s="18">
        <v>73072980</v>
      </c>
      <c r="I1252" s="17">
        <v>0.18</v>
      </c>
      <c r="J1252" s="18" t="s">
        <v>2657</v>
      </c>
    </row>
    <row r="1253" spans="1:10" ht="13" x14ac:dyDescent="0.3">
      <c r="A1253" s="34" t="s">
        <v>1342</v>
      </c>
      <c r="B1253" s="23" t="s">
        <v>2514</v>
      </c>
      <c r="C1253" s="13" t="s">
        <v>1343</v>
      </c>
      <c r="D1253" s="18">
        <v>10</v>
      </c>
      <c r="E1253" s="15">
        <v>2348</v>
      </c>
      <c r="F1253" s="23" t="s">
        <v>2940</v>
      </c>
      <c r="G1253" s="18" t="s">
        <v>1328</v>
      </c>
      <c r="H1253" s="18">
        <v>73072980</v>
      </c>
      <c r="I1253" s="17">
        <v>0.18</v>
      </c>
      <c r="J1253" s="18" t="s">
        <v>2657</v>
      </c>
    </row>
    <row r="1254" spans="1:10" ht="13" x14ac:dyDescent="0.3">
      <c r="A1254" s="34" t="s">
        <v>339</v>
      </c>
      <c r="B1254" s="23" t="s">
        <v>2514</v>
      </c>
      <c r="C1254" s="13" t="s">
        <v>1344</v>
      </c>
      <c r="D1254" s="18">
        <v>10</v>
      </c>
      <c r="E1254" s="15">
        <v>2639</v>
      </c>
      <c r="F1254" s="23" t="s">
        <v>2940</v>
      </c>
      <c r="G1254" s="18" t="s">
        <v>1328</v>
      </c>
      <c r="H1254" s="18">
        <v>73072980</v>
      </c>
      <c r="I1254" s="17">
        <v>0.18</v>
      </c>
      <c r="J1254" s="18" t="s">
        <v>2657</v>
      </c>
    </row>
    <row r="1255" spans="1:10" ht="13" x14ac:dyDescent="0.3">
      <c r="A1255" s="34" t="s">
        <v>340</v>
      </c>
      <c r="B1255" s="23" t="s">
        <v>2514</v>
      </c>
      <c r="C1255" s="13" t="s">
        <v>1345</v>
      </c>
      <c r="D1255" s="18">
        <v>5</v>
      </c>
      <c r="E1255" s="15">
        <v>3124</v>
      </c>
      <c r="F1255" s="23" t="s">
        <v>2940</v>
      </c>
      <c r="G1255" s="18" t="s">
        <v>1328</v>
      </c>
      <c r="H1255" s="18">
        <v>73072980</v>
      </c>
      <c r="I1255" s="17">
        <v>0.18</v>
      </c>
      <c r="J1255" s="18" t="s">
        <v>2657</v>
      </c>
    </row>
    <row r="1256" spans="1:10" ht="13" x14ac:dyDescent="0.3">
      <c r="A1256" s="34" t="s">
        <v>341</v>
      </c>
      <c r="B1256" s="23" t="s">
        <v>2514</v>
      </c>
      <c r="C1256" s="13" t="s">
        <v>1346</v>
      </c>
      <c r="D1256" s="18">
        <v>5</v>
      </c>
      <c r="E1256" s="15">
        <v>2881</v>
      </c>
      <c r="F1256" s="23" t="s">
        <v>2940</v>
      </c>
      <c r="G1256" s="18" t="s">
        <v>1328</v>
      </c>
      <c r="H1256" s="18">
        <v>73072980</v>
      </c>
      <c r="I1256" s="17">
        <v>0.18</v>
      </c>
      <c r="J1256" s="18" t="s">
        <v>2657</v>
      </c>
    </row>
    <row r="1257" spans="1:10" ht="13" x14ac:dyDescent="0.3">
      <c r="A1257" s="34" t="s">
        <v>342</v>
      </c>
      <c r="B1257" s="23" t="s">
        <v>2514</v>
      </c>
      <c r="C1257" s="13" t="s">
        <v>1347</v>
      </c>
      <c r="D1257" s="18">
        <v>5</v>
      </c>
      <c r="E1257" s="15">
        <v>2979</v>
      </c>
      <c r="F1257" s="23" t="s">
        <v>2940</v>
      </c>
      <c r="G1257" s="18" t="s">
        <v>1328</v>
      </c>
      <c r="H1257" s="18">
        <v>73072980</v>
      </c>
      <c r="I1257" s="17">
        <v>0.18</v>
      </c>
      <c r="J1257" s="18" t="s">
        <v>2657</v>
      </c>
    </row>
    <row r="1258" spans="1:10" ht="13" x14ac:dyDescent="0.3">
      <c r="A1258" s="34" t="s">
        <v>343</v>
      </c>
      <c r="B1258" s="23" t="s">
        <v>2514</v>
      </c>
      <c r="C1258" s="13" t="s">
        <v>1348</v>
      </c>
      <c r="D1258" s="18">
        <v>5</v>
      </c>
      <c r="E1258" s="15">
        <v>2949</v>
      </c>
      <c r="F1258" s="23" t="s">
        <v>2940</v>
      </c>
      <c r="G1258" s="18" t="s">
        <v>1328</v>
      </c>
      <c r="H1258" s="18">
        <v>73072980</v>
      </c>
      <c r="I1258" s="17">
        <v>0.18</v>
      </c>
      <c r="J1258" s="18" t="s">
        <v>2657</v>
      </c>
    </row>
    <row r="1259" spans="1:10" ht="13" x14ac:dyDescent="0.3">
      <c r="A1259" s="34" t="s">
        <v>344</v>
      </c>
      <c r="B1259" s="23" t="s">
        <v>2514</v>
      </c>
      <c r="C1259" s="13" t="s">
        <v>1349</v>
      </c>
      <c r="D1259" s="18">
        <v>5</v>
      </c>
      <c r="E1259" s="15">
        <v>3333</v>
      </c>
      <c r="F1259" s="23" t="s">
        <v>2940</v>
      </c>
      <c r="G1259" s="18" t="s">
        <v>1328</v>
      </c>
      <c r="H1259" s="18">
        <v>73072980</v>
      </c>
      <c r="I1259" s="17">
        <v>0.18</v>
      </c>
      <c r="J1259" s="18" t="s">
        <v>2657</v>
      </c>
    </row>
    <row r="1260" spans="1:10" ht="13" x14ac:dyDescent="0.3">
      <c r="A1260" s="34" t="s">
        <v>345</v>
      </c>
      <c r="B1260" s="23" t="s">
        <v>2514</v>
      </c>
      <c r="C1260" s="13" t="s">
        <v>1350</v>
      </c>
      <c r="D1260" s="18">
        <v>5</v>
      </c>
      <c r="E1260" s="15">
        <v>4189</v>
      </c>
      <c r="F1260" s="23" t="s">
        <v>2940</v>
      </c>
      <c r="G1260" s="18" t="s">
        <v>1328</v>
      </c>
      <c r="H1260" s="18">
        <v>73072980</v>
      </c>
      <c r="I1260" s="17">
        <v>0.18</v>
      </c>
      <c r="J1260" s="18" t="s">
        <v>2657</v>
      </c>
    </row>
    <row r="1261" spans="1:10" ht="13" x14ac:dyDescent="0.3">
      <c r="A1261" s="34" t="s">
        <v>346</v>
      </c>
      <c r="B1261" s="23" t="s">
        <v>2514</v>
      </c>
      <c r="C1261" s="13" t="s">
        <v>1351</v>
      </c>
      <c r="D1261" s="18">
        <v>2</v>
      </c>
      <c r="E1261" s="15">
        <v>3570</v>
      </c>
      <c r="F1261" s="23" t="s">
        <v>2940</v>
      </c>
      <c r="G1261" s="18" t="s">
        <v>1328</v>
      </c>
      <c r="H1261" s="18">
        <v>73072980</v>
      </c>
      <c r="I1261" s="17">
        <v>0.18</v>
      </c>
      <c r="J1261" s="18" t="s">
        <v>2657</v>
      </c>
    </row>
    <row r="1262" spans="1:10" ht="13" x14ac:dyDescent="0.3">
      <c r="A1262" s="34" t="s">
        <v>347</v>
      </c>
      <c r="B1262" s="23" t="s">
        <v>2514</v>
      </c>
      <c r="C1262" s="13" t="s">
        <v>1352</v>
      </c>
      <c r="D1262" s="18">
        <v>1</v>
      </c>
      <c r="E1262" s="15">
        <v>4901</v>
      </c>
      <c r="F1262" s="23" t="s">
        <v>2940</v>
      </c>
      <c r="G1262" s="18" t="s">
        <v>1328</v>
      </c>
      <c r="H1262" s="18">
        <v>73072980</v>
      </c>
      <c r="I1262" s="17">
        <v>0.18</v>
      </c>
      <c r="J1262" s="18" t="s">
        <v>2657</v>
      </c>
    </row>
    <row r="1263" spans="1:10" ht="13" x14ac:dyDescent="0.3">
      <c r="A1263" s="34" t="s">
        <v>348</v>
      </c>
      <c r="B1263" s="23" t="s">
        <v>2514</v>
      </c>
      <c r="C1263" s="13" t="s">
        <v>1353</v>
      </c>
      <c r="D1263" s="18">
        <v>1</v>
      </c>
      <c r="E1263" s="15">
        <v>5594</v>
      </c>
      <c r="F1263" s="23" t="s">
        <v>2940</v>
      </c>
      <c r="G1263" s="18" t="s">
        <v>1328</v>
      </c>
      <c r="H1263" s="18">
        <v>73072980</v>
      </c>
      <c r="I1263" s="17">
        <v>0.18</v>
      </c>
      <c r="J1263" s="18" t="s">
        <v>2657</v>
      </c>
    </row>
    <row r="1264" spans="1:10" ht="13" x14ac:dyDescent="0.3">
      <c r="A1264" s="34" t="s">
        <v>349</v>
      </c>
      <c r="B1264" s="23" t="s">
        <v>2514</v>
      </c>
      <c r="C1264" s="13" t="s">
        <v>1354</v>
      </c>
      <c r="D1264" s="18">
        <v>2</v>
      </c>
      <c r="E1264" s="15">
        <v>4589</v>
      </c>
      <c r="F1264" s="23" t="s">
        <v>2940</v>
      </c>
      <c r="G1264" s="18" t="s">
        <v>1328</v>
      </c>
      <c r="H1264" s="18">
        <v>73072980</v>
      </c>
      <c r="I1264" s="17">
        <v>0.18</v>
      </c>
      <c r="J1264" s="18" t="s">
        <v>2657</v>
      </c>
    </row>
    <row r="1265" spans="1:10" ht="13" x14ac:dyDescent="0.3">
      <c r="A1265" s="34" t="s">
        <v>350</v>
      </c>
      <c r="B1265" s="23" t="s">
        <v>2514</v>
      </c>
      <c r="C1265" s="13" t="s">
        <v>1355</v>
      </c>
      <c r="D1265" s="18">
        <v>1</v>
      </c>
      <c r="E1265" s="15">
        <v>5845</v>
      </c>
      <c r="F1265" s="23" t="s">
        <v>2940</v>
      </c>
      <c r="G1265" s="18" t="s">
        <v>1328</v>
      </c>
      <c r="H1265" s="18">
        <v>73072980</v>
      </c>
      <c r="I1265" s="17">
        <v>0.18</v>
      </c>
      <c r="J1265" s="18" t="s">
        <v>2657</v>
      </c>
    </row>
    <row r="1266" spans="1:10" ht="13" x14ac:dyDescent="0.3">
      <c r="A1266" s="34" t="s">
        <v>351</v>
      </c>
      <c r="B1266" s="23" t="s">
        <v>2514</v>
      </c>
      <c r="C1266" s="13" t="s">
        <v>1356</v>
      </c>
      <c r="D1266" s="18">
        <v>1</v>
      </c>
      <c r="E1266" s="15">
        <v>7780</v>
      </c>
      <c r="F1266" s="23" t="s">
        <v>2940</v>
      </c>
      <c r="G1266" s="18" t="s">
        <v>1328</v>
      </c>
      <c r="H1266" s="18">
        <v>73072980</v>
      </c>
      <c r="I1266" s="17">
        <v>0.18</v>
      </c>
      <c r="J1266" s="18" t="s">
        <v>2657</v>
      </c>
    </row>
    <row r="1267" spans="1:10" ht="13" x14ac:dyDescent="0.3">
      <c r="A1267" s="34" t="s">
        <v>1357</v>
      </c>
      <c r="B1267" s="23" t="s">
        <v>2514</v>
      </c>
      <c r="C1267" s="13" t="s">
        <v>1358</v>
      </c>
      <c r="D1267" s="18">
        <v>1</v>
      </c>
      <c r="E1267" s="15" t="s">
        <v>2936</v>
      </c>
      <c r="F1267" s="23" t="s">
        <v>2940</v>
      </c>
      <c r="G1267" s="18" t="s">
        <v>1328</v>
      </c>
      <c r="H1267" s="18">
        <v>73072980</v>
      </c>
      <c r="I1267" s="17">
        <v>0.18</v>
      </c>
      <c r="J1267" s="18" t="s">
        <v>2657</v>
      </c>
    </row>
    <row r="1268" spans="1:10" ht="13" x14ac:dyDescent="0.3">
      <c r="A1268" s="34" t="s">
        <v>1359</v>
      </c>
      <c r="B1268" s="23" t="s">
        <v>2514</v>
      </c>
      <c r="C1268" s="13" t="s">
        <v>1360</v>
      </c>
      <c r="D1268" s="18">
        <v>1</v>
      </c>
      <c r="E1268" s="15" t="s">
        <v>2936</v>
      </c>
      <c r="F1268" s="23" t="s">
        <v>2940</v>
      </c>
      <c r="G1268" s="18" t="s">
        <v>1328</v>
      </c>
      <c r="H1268" s="18">
        <v>73072980</v>
      </c>
      <c r="I1268" s="17">
        <v>0.18</v>
      </c>
      <c r="J1268" s="18" t="s">
        <v>2657</v>
      </c>
    </row>
    <row r="1269" spans="1:10" ht="13" x14ac:dyDescent="0.3">
      <c r="A1269" s="34" t="s">
        <v>352</v>
      </c>
      <c r="B1269" s="23" t="s">
        <v>2514</v>
      </c>
      <c r="C1269" s="13" t="s">
        <v>1361</v>
      </c>
      <c r="D1269" s="18">
        <v>1</v>
      </c>
      <c r="E1269" s="15">
        <v>26837</v>
      </c>
      <c r="F1269" s="23" t="s">
        <v>2940</v>
      </c>
      <c r="G1269" s="18" t="s">
        <v>1328</v>
      </c>
      <c r="H1269" s="18">
        <v>73072980</v>
      </c>
      <c r="I1269" s="17">
        <v>0.18</v>
      </c>
      <c r="J1269" s="18" t="s">
        <v>2657</v>
      </c>
    </row>
    <row r="1270" spans="1:10" ht="13" x14ac:dyDescent="0.3">
      <c r="A1270" s="34" t="s">
        <v>353</v>
      </c>
      <c r="B1270" s="23" t="s">
        <v>2514</v>
      </c>
      <c r="C1270" s="13" t="s">
        <v>1362</v>
      </c>
      <c r="D1270" s="18">
        <v>1</v>
      </c>
      <c r="E1270" s="15">
        <v>30701</v>
      </c>
      <c r="F1270" s="23" t="s">
        <v>2940</v>
      </c>
      <c r="G1270" s="18" t="s">
        <v>1328</v>
      </c>
      <c r="H1270" s="18">
        <v>73072980</v>
      </c>
      <c r="I1270" s="17">
        <v>0.18</v>
      </c>
      <c r="J1270" s="18" t="s">
        <v>2657</v>
      </c>
    </row>
    <row r="1271" spans="1:10" ht="13" x14ac:dyDescent="0.3">
      <c r="A1271" s="34" t="s">
        <v>354</v>
      </c>
      <c r="B1271" s="23" t="s">
        <v>2514</v>
      </c>
      <c r="C1271" s="13" t="s">
        <v>1363</v>
      </c>
      <c r="D1271" s="18">
        <v>1</v>
      </c>
      <c r="E1271" s="15">
        <v>31702</v>
      </c>
      <c r="F1271" s="23" t="s">
        <v>2940</v>
      </c>
      <c r="G1271" s="18" t="s">
        <v>1328</v>
      </c>
      <c r="H1271" s="18">
        <v>73072980</v>
      </c>
      <c r="I1271" s="17">
        <v>0.18</v>
      </c>
      <c r="J1271" s="18" t="s">
        <v>2657</v>
      </c>
    </row>
    <row r="1272" spans="1:10" ht="13" x14ac:dyDescent="0.3">
      <c r="A1272" s="34" t="s">
        <v>355</v>
      </c>
      <c r="B1272" s="23" t="s">
        <v>2514</v>
      </c>
      <c r="C1272" s="13" t="s">
        <v>1364</v>
      </c>
      <c r="D1272" s="18">
        <v>1</v>
      </c>
      <c r="E1272" s="15">
        <v>35109</v>
      </c>
      <c r="F1272" s="23" t="s">
        <v>2940</v>
      </c>
      <c r="G1272" s="18" t="s">
        <v>1328</v>
      </c>
      <c r="H1272" s="18">
        <v>73072980</v>
      </c>
      <c r="I1272" s="17">
        <v>0.18</v>
      </c>
      <c r="J1272" s="18" t="s">
        <v>2657</v>
      </c>
    </row>
    <row r="1273" spans="1:10" ht="13" x14ac:dyDescent="0.3">
      <c r="A1273" s="34" t="s">
        <v>356</v>
      </c>
      <c r="B1273" s="23" t="s">
        <v>2515</v>
      </c>
      <c r="C1273" s="13" t="s">
        <v>1327</v>
      </c>
      <c r="D1273" s="18">
        <v>10</v>
      </c>
      <c r="E1273" s="15">
        <v>1543</v>
      </c>
      <c r="F1273" s="23" t="s">
        <v>2941</v>
      </c>
      <c r="G1273" s="18" t="s">
        <v>1328</v>
      </c>
      <c r="H1273" s="18">
        <v>73072980</v>
      </c>
      <c r="I1273" s="17">
        <v>0.18</v>
      </c>
      <c r="J1273" s="18" t="s">
        <v>2657</v>
      </c>
    </row>
    <row r="1274" spans="1:10" ht="13" x14ac:dyDescent="0.3">
      <c r="A1274" s="34" t="s">
        <v>357</v>
      </c>
      <c r="B1274" s="23" t="s">
        <v>2515</v>
      </c>
      <c r="C1274" s="13" t="s">
        <v>1340</v>
      </c>
      <c r="D1274" s="18">
        <v>10</v>
      </c>
      <c r="E1274" s="15">
        <v>1863</v>
      </c>
      <c r="F1274" s="23" t="s">
        <v>2941</v>
      </c>
      <c r="G1274" s="18" t="s">
        <v>1328</v>
      </c>
      <c r="H1274" s="18">
        <v>73072980</v>
      </c>
      <c r="I1274" s="17">
        <v>0.18</v>
      </c>
      <c r="J1274" s="18" t="s">
        <v>2657</v>
      </c>
    </row>
    <row r="1275" spans="1:10" ht="13" x14ac:dyDescent="0.3">
      <c r="A1275" s="34" t="s">
        <v>358</v>
      </c>
      <c r="B1275" s="23" t="s">
        <v>2515</v>
      </c>
      <c r="C1275" s="13" t="s">
        <v>1329</v>
      </c>
      <c r="D1275" s="18">
        <v>10</v>
      </c>
      <c r="E1275" s="15">
        <v>2200</v>
      </c>
      <c r="F1275" s="23" t="s">
        <v>2941</v>
      </c>
      <c r="G1275" s="18" t="s">
        <v>1328</v>
      </c>
      <c r="H1275" s="18">
        <v>73072980</v>
      </c>
      <c r="I1275" s="17">
        <v>0.18</v>
      </c>
      <c r="J1275" s="18" t="s">
        <v>2657</v>
      </c>
    </row>
    <row r="1276" spans="1:10" ht="13" x14ac:dyDescent="0.3">
      <c r="A1276" s="34" t="s">
        <v>359</v>
      </c>
      <c r="B1276" s="23" t="s">
        <v>2515</v>
      </c>
      <c r="C1276" s="13" t="s">
        <v>1365</v>
      </c>
      <c r="D1276" s="18">
        <v>5</v>
      </c>
      <c r="E1276" s="15">
        <v>2105</v>
      </c>
      <c r="F1276" s="23" t="s">
        <v>2941</v>
      </c>
      <c r="G1276" s="18" t="s">
        <v>1328</v>
      </c>
      <c r="H1276" s="18">
        <v>73072980</v>
      </c>
      <c r="I1276" s="17">
        <v>0.18</v>
      </c>
      <c r="J1276" s="18" t="s">
        <v>2657</v>
      </c>
    </row>
    <row r="1277" spans="1:10" ht="13" x14ac:dyDescent="0.3">
      <c r="A1277" s="34" t="s">
        <v>360</v>
      </c>
      <c r="B1277" s="23" t="s">
        <v>2515</v>
      </c>
      <c r="C1277" s="13" t="s">
        <v>1366</v>
      </c>
      <c r="D1277" s="18">
        <v>5</v>
      </c>
      <c r="E1277" s="15">
        <v>2493</v>
      </c>
      <c r="F1277" s="23" t="s">
        <v>2941</v>
      </c>
      <c r="G1277" s="18" t="s">
        <v>1328</v>
      </c>
      <c r="H1277" s="18">
        <v>73072980</v>
      </c>
      <c r="I1277" s="17">
        <v>0.18</v>
      </c>
      <c r="J1277" s="18" t="s">
        <v>2657</v>
      </c>
    </row>
    <row r="1278" spans="1:10" ht="13" x14ac:dyDescent="0.3">
      <c r="A1278" s="34" t="s">
        <v>361</v>
      </c>
      <c r="B1278" s="23" t="s">
        <v>2515</v>
      </c>
      <c r="C1278" s="13" t="s">
        <v>1336</v>
      </c>
      <c r="D1278" s="18">
        <v>5</v>
      </c>
      <c r="E1278" s="15">
        <v>2522</v>
      </c>
      <c r="F1278" s="23" t="s">
        <v>2941</v>
      </c>
      <c r="G1278" s="18" t="s">
        <v>1328</v>
      </c>
      <c r="H1278" s="18">
        <v>73072980</v>
      </c>
      <c r="I1278" s="17">
        <v>0.18</v>
      </c>
      <c r="J1278" s="18" t="s">
        <v>2657</v>
      </c>
    </row>
    <row r="1279" spans="1:10" ht="13" x14ac:dyDescent="0.3">
      <c r="A1279" s="34" t="s">
        <v>362</v>
      </c>
      <c r="B1279" s="23" t="s">
        <v>2515</v>
      </c>
      <c r="C1279" s="13" t="s">
        <v>1367</v>
      </c>
      <c r="D1279" s="18">
        <v>5</v>
      </c>
      <c r="E1279" s="15">
        <v>3696</v>
      </c>
      <c r="F1279" s="23" t="s">
        <v>2941</v>
      </c>
      <c r="G1279" s="18" t="s">
        <v>1328</v>
      </c>
      <c r="H1279" s="18">
        <v>73072980</v>
      </c>
      <c r="I1279" s="17">
        <v>0.18</v>
      </c>
      <c r="J1279" s="18" t="s">
        <v>2657</v>
      </c>
    </row>
    <row r="1280" spans="1:10" ht="13" x14ac:dyDescent="0.3">
      <c r="A1280" s="34" t="s">
        <v>363</v>
      </c>
      <c r="B1280" s="23" t="s">
        <v>2515</v>
      </c>
      <c r="C1280" s="13" t="s">
        <v>1338</v>
      </c>
      <c r="D1280" s="18">
        <v>2</v>
      </c>
      <c r="E1280" s="15">
        <v>5384</v>
      </c>
      <c r="F1280" s="23" t="s">
        <v>2941</v>
      </c>
      <c r="G1280" s="18" t="s">
        <v>1328</v>
      </c>
      <c r="H1280" s="18">
        <v>73072980</v>
      </c>
      <c r="I1280" s="17">
        <v>0.18</v>
      </c>
      <c r="J1280" s="18" t="s">
        <v>2657</v>
      </c>
    </row>
    <row r="1281" spans="1:10" ht="13" x14ac:dyDescent="0.3">
      <c r="A1281" s="34" t="s">
        <v>364</v>
      </c>
      <c r="B1281" s="23" t="s">
        <v>2515</v>
      </c>
      <c r="C1281" s="13" t="s">
        <v>1339</v>
      </c>
      <c r="D1281" s="18">
        <v>2</v>
      </c>
      <c r="E1281" s="15">
        <v>7198</v>
      </c>
      <c r="F1281" s="23" t="s">
        <v>2941</v>
      </c>
      <c r="G1281" s="18" t="s">
        <v>1328</v>
      </c>
      <c r="H1281" s="18">
        <v>73072980</v>
      </c>
      <c r="I1281" s="17">
        <v>0.18</v>
      </c>
      <c r="J1281" s="18" t="s">
        <v>2657</v>
      </c>
    </row>
    <row r="1282" spans="1:10" ht="13" x14ac:dyDescent="0.3">
      <c r="A1282" s="34" t="s">
        <v>365</v>
      </c>
      <c r="B1282" s="23" t="s">
        <v>2515</v>
      </c>
      <c r="C1282" s="13" t="s">
        <v>1368</v>
      </c>
      <c r="D1282" s="18">
        <v>1</v>
      </c>
      <c r="E1282" s="15" t="s">
        <v>2936</v>
      </c>
      <c r="F1282" s="23" t="s">
        <v>2941</v>
      </c>
      <c r="G1282" s="18" t="s">
        <v>1328</v>
      </c>
      <c r="H1282" s="18">
        <v>73072980</v>
      </c>
      <c r="I1282" s="17">
        <v>0.18</v>
      </c>
      <c r="J1282" s="18" t="s">
        <v>2657</v>
      </c>
    </row>
    <row r="1283" spans="1:10" ht="13" x14ac:dyDescent="0.3">
      <c r="A1283" s="34" t="s">
        <v>366</v>
      </c>
      <c r="B1283" s="23" t="s">
        <v>2515</v>
      </c>
      <c r="C1283" s="13" t="s">
        <v>1369</v>
      </c>
      <c r="D1283" s="18">
        <v>1</v>
      </c>
      <c r="E1283" s="15" t="s">
        <v>2936</v>
      </c>
      <c r="F1283" s="23" t="s">
        <v>2941</v>
      </c>
      <c r="G1283" s="18" t="s">
        <v>1328</v>
      </c>
      <c r="H1283" s="18">
        <v>73072980</v>
      </c>
      <c r="I1283" s="17">
        <v>0.18</v>
      </c>
      <c r="J1283" s="18" t="s">
        <v>2657</v>
      </c>
    </row>
    <row r="1284" spans="1:10" ht="13" x14ac:dyDescent="0.3">
      <c r="A1284" s="34" t="s">
        <v>1370</v>
      </c>
      <c r="B1284" s="23" t="s">
        <v>2515</v>
      </c>
      <c r="C1284" s="13" t="s">
        <v>1371</v>
      </c>
      <c r="D1284" s="18">
        <v>1</v>
      </c>
      <c r="E1284" s="15" t="s">
        <v>2936</v>
      </c>
      <c r="F1284" s="23" t="s">
        <v>2941</v>
      </c>
      <c r="G1284" s="18" t="s">
        <v>1328</v>
      </c>
      <c r="H1284" s="18">
        <v>73072980</v>
      </c>
      <c r="I1284" s="17">
        <v>0.18</v>
      </c>
      <c r="J1284" s="18" t="s">
        <v>2657</v>
      </c>
    </row>
    <row r="1285" spans="1:10" ht="13" x14ac:dyDescent="0.3">
      <c r="A1285" s="34" t="s">
        <v>367</v>
      </c>
      <c r="B1285" s="23" t="s">
        <v>2516</v>
      </c>
      <c r="C1285" s="13" t="s">
        <v>1327</v>
      </c>
      <c r="D1285" s="18">
        <v>10</v>
      </c>
      <c r="E1285" s="15">
        <v>1645</v>
      </c>
      <c r="F1285" s="23" t="s">
        <v>2942</v>
      </c>
      <c r="G1285" s="18" t="s">
        <v>1328</v>
      </c>
      <c r="H1285" s="18">
        <v>73072980</v>
      </c>
      <c r="I1285" s="17">
        <v>0.18</v>
      </c>
      <c r="J1285" s="18" t="s">
        <v>2657</v>
      </c>
    </row>
    <row r="1286" spans="1:10" ht="13" x14ac:dyDescent="0.3">
      <c r="A1286" s="34" t="s">
        <v>368</v>
      </c>
      <c r="B1286" s="23" t="s">
        <v>2516</v>
      </c>
      <c r="C1286" s="13" t="s">
        <v>1340</v>
      </c>
      <c r="D1286" s="18">
        <v>10</v>
      </c>
      <c r="E1286" s="15">
        <v>1911</v>
      </c>
      <c r="F1286" s="23" t="s">
        <v>2942</v>
      </c>
      <c r="G1286" s="18" t="s">
        <v>1328</v>
      </c>
      <c r="H1286" s="18">
        <v>73072980</v>
      </c>
      <c r="I1286" s="17">
        <v>0.18</v>
      </c>
      <c r="J1286" s="18" t="s">
        <v>2657</v>
      </c>
    </row>
    <row r="1287" spans="1:10" ht="13" x14ac:dyDescent="0.3">
      <c r="A1287" s="34" t="s">
        <v>369</v>
      </c>
      <c r="B1287" s="23" t="s">
        <v>2516</v>
      </c>
      <c r="C1287" s="13" t="s">
        <v>1329</v>
      </c>
      <c r="D1287" s="18">
        <v>10</v>
      </c>
      <c r="E1287" s="15">
        <v>2222</v>
      </c>
      <c r="F1287" s="23" t="s">
        <v>2942</v>
      </c>
      <c r="G1287" s="18" t="s">
        <v>1328</v>
      </c>
      <c r="H1287" s="18">
        <v>73072980</v>
      </c>
      <c r="I1287" s="17">
        <v>0.18</v>
      </c>
      <c r="J1287" s="18" t="s">
        <v>2657</v>
      </c>
    </row>
    <row r="1288" spans="1:10" ht="13" x14ac:dyDescent="0.3">
      <c r="A1288" s="34" t="s">
        <v>370</v>
      </c>
      <c r="B1288" s="23" t="s">
        <v>2516</v>
      </c>
      <c r="C1288" s="13" t="s">
        <v>1365</v>
      </c>
      <c r="D1288" s="18">
        <v>5</v>
      </c>
      <c r="E1288" s="15">
        <v>2134</v>
      </c>
      <c r="F1288" s="23" t="s">
        <v>2942</v>
      </c>
      <c r="G1288" s="18" t="s">
        <v>1328</v>
      </c>
      <c r="H1288" s="18">
        <v>73072980</v>
      </c>
      <c r="I1288" s="17">
        <v>0.18</v>
      </c>
      <c r="J1288" s="18" t="s">
        <v>2657</v>
      </c>
    </row>
    <row r="1289" spans="1:10" ht="13" x14ac:dyDescent="0.3">
      <c r="A1289" s="34" t="s">
        <v>371</v>
      </c>
      <c r="B1289" s="23" t="s">
        <v>2516</v>
      </c>
      <c r="C1289" s="13" t="s">
        <v>1366</v>
      </c>
      <c r="D1289" s="18">
        <v>5</v>
      </c>
      <c r="E1289" s="15">
        <v>2590</v>
      </c>
      <c r="F1289" s="23" t="s">
        <v>2942</v>
      </c>
      <c r="G1289" s="18" t="s">
        <v>1328</v>
      </c>
      <c r="H1289" s="18">
        <v>73072980</v>
      </c>
      <c r="I1289" s="17">
        <v>0.18</v>
      </c>
      <c r="J1289" s="18" t="s">
        <v>2657</v>
      </c>
    </row>
    <row r="1290" spans="1:10" ht="13" x14ac:dyDescent="0.3">
      <c r="A1290" s="34" t="s">
        <v>372</v>
      </c>
      <c r="B1290" s="23" t="s">
        <v>2516</v>
      </c>
      <c r="C1290" s="13" t="s">
        <v>1330</v>
      </c>
      <c r="D1290" s="18">
        <v>5</v>
      </c>
      <c r="E1290" s="15">
        <v>3657</v>
      </c>
      <c r="F1290" s="23" t="s">
        <v>2942</v>
      </c>
      <c r="G1290" s="18" t="s">
        <v>1328</v>
      </c>
      <c r="H1290" s="18">
        <v>73072980</v>
      </c>
      <c r="I1290" s="17">
        <v>0.18</v>
      </c>
      <c r="J1290" s="18" t="s">
        <v>2657</v>
      </c>
    </row>
    <row r="1291" spans="1:10" ht="13" x14ac:dyDescent="0.3">
      <c r="A1291" s="34" t="s">
        <v>373</v>
      </c>
      <c r="B1291" s="23" t="s">
        <v>2516</v>
      </c>
      <c r="C1291" s="13" t="s">
        <v>1331</v>
      </c>
      <c r="D1291" s="18">
        <v>5</v>
      </c>
      <c r="E1291" s="15">
        <v>3890</v>
      </c>
      <c r="F1291" s="23" t="s">
        <v>2942</v>
      </c>
      <c r="G1291" s="18" t="s">
        <v>1328</v>
      </c>
      <c r="H1291" s="18">
        <v>73072980</v>
      </c>
      <c r="I1291" s="17">
        <v>0.18</v>
      </c>
      <c r="J1291" s="18" t="s">
        <v>2657</v>
      </c>
    </row>
    <row r="1292" spans="1:10" ht="13" x14ac:dyDescent="0.3">
      <c r="A1292" s="34" t="s">
        <v>374</v>
      </c>
      <c r="B1292" s="23" t="s">
        <v>2516</v>
      </c>
      <c r="C1292" s="13" t="s">
        <v>1332</v>
      </c>
      <c r="D1292" s="18">
        <v>2</v>
      </c>
      <c r="E1292" s="15">
        <v>5947</v>
      </c>
      <c r="F1292" s="23" t="s">
        <v>2942</v>
      </c>
      <c r="G1292" s="18" t="s">
        <v>1328</v>
      </c>
      <c r="H1292" s="18">
        <v>73072980</v>
      </c>
      <c r="I1292" s="17">
        <v>0.18</v>
      </c>
      <c r="J1292" s="18" t="s">
        <v>2657</v>
      </c>
    </row>
    <row r="1293" spans="1:10" ht="13" x14ac:dyDescent="0.3">
      <c r="A1293" s="34" t="s">
        <v>375</v>
      </c>
      <c r="B1293" s="23" t="s">
        <v>2516</v>
      </c>
      <c r="C1293" s="13" t="s">
        <v>1333</v>
      </c>
      <c r="D1293" s="18">
        <v>2</v>
      </c>
      <c r="E1293" s="15">
        <v>9109</v>
      </c>
      <c r="F1293" s="23" t="s">
        <v>2942</v>
      </c>
      <c r="G1293" s="18" t="s">
        <v>1328</v>
      </c>
      <c r="H1293" s="18">
        <v>73072980</v>
      </c>
      <c r="I1293" s="17">
        <v>0.18</v>
      </c>
      <c r="J1293" s="18" t="s">
        <v>2657</v>
      </c>
    </row>
    <row r="1294" spans="1:10" ht="13" x14ac:dyDescent="0.3">
      <c r="A1294" s="34" t="s">
        <v>376</v>
      </c>
      <c r="B1294" s="23" t="s">
        <v>2516</v>
      </c>
      <c r="C1294" s="13" t="s">
        <v>1372</v>
      </c>
      <c r="D1294" s="18">
        <v>1</v>
      </c>
      <c r="E1294" s="15" t="s">
        <v>2936</v>
      </c>
      <c r="F1294" s="23" t="s">
        <v>2942</v>
      </c>
      <c r="G1294" s="18" t="s">
        <v>1328</v>
      </c>
      <c r="H1294" s="18">
        <v>73072980</v>
      </c>
      <c r="I1294" s="17">
        <v>0.18</v>
      </c>
      <c r="J1294" s="18" t="s">
        <v>2657</v>
      </c>
    </row>
    <row r="1295" spans="1:10" ht="13" x14ac:dyDescent="0.3">
      <c r="A1295" s="34" t="s">
        <v>377</v>
      </c>
      <c r="B1295" s="23" t="s">
        <v>2516</v>
      </c>
      <c r="C1295" s="13" t="s">
        <v>1373</v>
      </c>
      <c r="D1295" s="18">
        <v>1</v>
      </c>
      <c r="E1295" s="15" t="s">
        <v>2936</v>
      </c>
      <c r="F1295" s="23" t="s">
        <v>2942</v>
      </c>
      <c r="G1295" s="18" t="s">
        <v>1328</v>
      </c>
      <c r="H1295" s="18">
        <v>73072980</v>
      </c>
      <c r="I1295" s="17">
        <v>0.18</v>
      </c>
      <c r="J1295" s="18" t="s">
        <v>2657</v>
      </c>
    </row>
    <row r="1296" spans="1:10" ht="13" x14ac:dyDescent="0.3">
      <c r="A1296" s="34" t="s">
        <v>378</v>
      </c>
      <c r="B1296" s="23" t="s">
        <v>2517</v>
      </c>
      <c r="C1296" s="13">
        <v>15</v>
      </c>
      <c r="D1296" s="18">
        <v>10</v>
      </c>
      <c r="E1296" s="15">
        <v>1111</v>
      </c>
      <c r="F1296" s="23" t="s">
        <v>2943</v>
      </c>
      <c r="G1296" s="18" t="s">
        <v>519</v>
      </c>
      <c r="H1296" s="18">
        <v>73072980</v>
      </c>
      <c r="I1296" s="17">
        <v>0.18</v>
      </c>
      <c r="J1296" s="18" t="s">
        <v>2657</v>
      </c>
    </row>
    <row r="1297" spans="1:10" ht="13" x14ac:dyDescent="0.3">
      <c r="A1297" s="34" t="s">
        <v>379</v>
      </c>
      <c r="B1297" s="23" t="s">
        <v>2517</v>
      </c>
      <c r="C1297" s="13">
        <v>22</v>
      </c>
      <c r="D1297" s="18">
        <v>10</v>
      </c>
      <c r="E1297" s="15">
        <v>1284</v>
      </c>
      <c r="F1297" s="23" t="s">
        <v>2943</v>
      </c>
      <c r="G1297" s="18" t="s">
        <v>519</v>
      </c>
      <c r="H1297" s="18">
        <v>73072980</v>
      </c>
      <c r="I1297" s="17">
        <v>0.18</v>
      </c>
      <c r="J1297" s="18" t="s">
        <v>2657</v>
      </c>
    </row>
    <row r="1298" spans="1:10" ht="13" x14ac:dyDescent="0.3">
      <c r="A1298" s="34" t="s">
        <v>380</v>
      </c>
      <c r="B1298" s="23" t="s">
        <v>2517</v>
      </c>
      <c r="C1298" s="13">
        <v>28</v>
      </c>
      <c r="D1298" s="18">
        <v>5</v>
      </c>
      <c r="E1298" s="15">
        <v>1446</v>
      </c>
      <c r="F1298" s="23" t="s">
        <v>2943</v>
      </c>
      <c r="G1298" s="18" t="s">
        <v>519</v>
      </c>
      <c r="H1298" s="18">
        <v>73072980</v>
      </c>
      <c r="I1298" s="17">
        <v>0.18</v>
      </c>
      <c r="J1298" s="18" t="s">
        <v>2657</v>
      </c>
    </row>
    <row r="1299" spans="1:10" ht="13" x14ac:dyDescent="0.3">
      <c r="A1299" s="34" t="s">
        <v>381</v>
      </c>
      <c r="B1299" s="23" t="s">
        <v>2517</v>
      </c>
      <c r="C1299" s="13">
        <v>35</v>
      </c>
      <c r="D1299" s="18">
        <v>5</v>
      </c>
      <c r="E1299" s="15">
        <v>2282</v>
      </c>
      <c r="F1299" s="23" t="s">
        <v>2943</v>
      </c>
      <c r="G1299" s="18" t="s">
        <v>519</v>
      </c>
      <c r="H1299" s="18">
        <v>73072980</v>
      </c>
      <c r="I1299" s="17">
        <v>0.18</v>
      </c>
      <c r="J1299" s="18" t="s">
        <v>2657</v>
      </c>
    </row>
    <row r="1300" spans="1:10" ht="13" x14ac:dyDescent="0.3">
      <c r="A1300" s="34" t="s">
        <v>382</v>
      </c>
      <c r="B1300" s="23" t="s">
        <v>2517</v>
      </c>
      <c r="C1300" s="13">
        <v>42</v>
      </c>
      <c r="D1300" s="18">
        <v>2</v>
      </c>
      <c r="E1300" s="15">
        <v>3138</v>
      </c>
      <c r="F1300" s="23" t="s">
        <v>2943</v>
      </c>
      <c r="G1300" s="18" t="s">
        <v>519</v>
      </c>
      <c r="H1300" s="18">
        <v>73072980</v>
      </c>
      <c r="I1300" s="17">
        <v>0.18</v>
      </c>
      <c r="J1300" s="18" t="s">
        <v>2657</v>
      </c>
    </row>
    <row r="1301" spans="1:10" ht="13" x14ac:dyDescent="0.3">
      <c r="A1301" s="34" t="s">
        <v>383</v>
      </c>
      <c r="B1301" s="23" t="s">
        <v>2517</v>
      </c>
      <c r="C1301" s="13">
        <v>54</v>
      </c>
      <c r="D1301" s="18">
        <v>2</v>
      </c>
      <c r="E1301" s="15">
        <v>4228</v>
      </c>
      <c r="F1301" s="23" t="s">
        <v>2943</v>
      </c>
      <c r="G1301" s="18" t="s">
        <v>519</v>
      </c>
      <c r="H1301" s="18">
        <v>73072980</v>
      </c>
      <c r="I1301" s="17">
        <v>0.18</v>
      </c>
      <c r="J1301" s="18" t="s">
        <v>2657</v>
      </c>
    </row>
    <row r="1302" spans="1:10" ht="13" x14ac:dyDescent="0.3">
      <c r="A1302" s="34" t="s">
        <v>384</v>
      </c>
      <c r="B1302" s="23" t="s">
        <v>2517</v>
      </c>
      <c r="C1302" s="13">
        <v>76.099999999999994</v>
      </c>
      <c r="D1302" s="18">
        <v>1</v>
      </c>
      <c r="E1302" s="15">
        <v>28396</v>
      </c>
      <c r="F1302" s="23" t="s">
        <v>2943</v>
      </c>
      <c r="G1302" s="18" t="s">
        <v>519</v>
      </c>
      <c r="H1302" s="18">
        <v>73072980</v>
      </c>
      <c r="I1302" s="17">
        <v>0.18</v>
      </c>
      <c r="J1302" s="18" t="s">
        <v>2657</v>
      </c>
    </row>
    <row r="1303" spans="1:10" ht="13" x14ac:dyDescent="0.3">
      <c r="A1303" s="34" t="s">
        <v>385</v>
      </c>
      <c r="B1303" s="23" t="s">
        <v>2517</v>
      </c>
      <c r="C1303" s="13">
        <v>88.9</v>
      </c>
      <c r="D1303" s="18">
        <v>1</v>
      </c>
      <c r="E1303" s="15">
        <v>32493</v>
      </c>
      <c r="F1303" s="23" t="s">
        <v>2943</v>
      </c>
      <c r="G1303" s="18" t="s">
        <v>519</v>
      </c>
      <c r="H1303" s="18">
        <v>73072980</v>
      </c>
      <c r="I1303" s="17">
        <v>0.18</v>
      </c>
      <c r="J1303" s="18" t="s">
        <v>2657</v>
      </c>
    </row>
    <row r="1304" spans="1:10" ht="13" x14ac:dyDescent="0.3">
      <c r="A1304" s="34" t="s">
        <v>386</v>
      </c>
      <c r="B1304" s="23" t="s">
        <v>2517</v>
      </c>
      <c r="C1304" s="13">
        <v>108</v>
      </c>
      <c r="D1304" s="18">
        <v>1</v>
      </c>
      <c r="E1304" s="15">
        <v>36837</v>
      </c>
      <c r="F1304" s="23" t="s">
        <v>2943</v>
      </c>
      <c r="G1304" s="18" t="s">
        <v>519</v>
      </c>
      <c r="H1304" s="18">
        <v>73072980</v>
      </c>
      <c r="I1304" s="17">
        <v>0.18</v>
      </c>
      <c r="J1304" s="18" t="s">
        <v>2657</v>
      </c>
    </row>
    <row r="1305" spans="1:10" ht="13" x14ac:dyDescent="0.3">
      <c r="A1305" s="34" t="s">
        <v>387</v>
      </c>
      <c r="B1305" s="23" t="s">
        <v>2518</v>
      </c>
      <c r="C1305" s="13" t="s">
        <v>1334</v>
      </c>
      <c r="D1305" s="18">
        <v>5</v>
      </c>
      <c r="E1305" s="15">
        <v>2793</v>
      </c>
      <c r="F1305" s="23" t="s">
        <v>2944</v>
      </c>
      <c r="G1305" s="18" t="s">
        <v>1328</v>
      </c>
      <c r="H1305" s="18">
        <v>73072980</v>
      </c>
      <c r="I1305" s="17">
        <v>0.18</v>
      </c>
      <c r="J1305" s="18" t="s">
        <v>2657</v>
      </c>
    </row>
    <row r="1306" spans="1:10" ht="13" x14ac:dyDescent="0.3">
      <c r="A1306" s="34" t="s">
        <v>388</v>
      </c>
      <c r="B1306" s="23" t="s">
        <v>2518</v>
      </c>
      <c r="C1306" s="13" t="s">
        <v>1374</v>
      </c>
      <c r="D1306" s="18">
        <v>5</v>
      </c>
      <c r="E1306" s="15" t="s">
        <v>2936</v>
      </c>
      <c r="F1306" s="23" t="s">
        <v>2944</v>
      </c>
      <c r="G1306" s="18" t="s">
        <v>1328</v>
      </c>
      <c r="H1306" s="18">
        <v>73072980</v>
      </c>
      <c r="I1306" s="17">
        <v>0.18</v>
      </c>
      <c r="J1306" s="18" t="s">
        <v>2657</v>
      </c>
    </row>
    <row r="1307" spans="1:10" ht="13" x14ac:dyDescent="0.3">
      <c r="A1307" s="34" t="s">
        <v>389</v>
      </c>
      <c r="B1307" s="23" t="s">
        <v>2518</v>
      </c>
      <c r="C1307" s="13" t="s">
        <v>1335</v>
      </c>
      <c r="D1307" s="18">
        <v>5</v>
      </c>
      <c r="E1307" s="15">
        <v>3675</v>
      </c>
      <c r="F1307" s="23" t="s">
        <v>2944</v>
      </c>
      <c r="G1307" s="18" t="s">
        <v>1328</v>
      </c>
      <c r="H1307" s="18">
        <v>73072980</v>
      </c>
      <c r="I1307" s="17">
        <v>0.18</v>
      </c>
      <c r="J1307" s="18" t="s">
        <v>2657</v>
      </c>
    </row>
    <row r="1308" spans="1:10" ht="13" x14ac:dyDescent="0.3">
      <c r="A1308" s="34" t="s">
        <v>390</v>
      </c>
      <c r="B1308" s="23" t="s">
        <v>2518</v>
      </c>
      <c r="C1308" s="13" t="s">
        <v>1375</v>
      </c>
      <c r="D1308" s="18">
        <v>5</v>
      </c>
      <c r="E1308" s="15">
        <v>3969</v>
      </c>
      <c r="F1308" s="23" t="s">
        <v>2944</v>
      </c>
      <c r="G1308" s="18" t="s">
        <v>1328</v>
      </c>
      <c r="H1308" s="18">
        <v>73072980</v>
      </c>
      <c r="I1308" s="17">
        <v>0.18</v>
      </c>
      <c r="J1308" s="18" t="s">
        <v>2657</v>
      </c>
    </row>
    <row r="1309" spans="1:10" ht="13" x14ac:dyDescent="0.3">
      <c r="A1309" s="34" t="s">
        <v>391</v>
      </c>
      <c r="B1309" s="23" t="s">
        <v>2518</v>
      </c>
      <c r="C1309" s="13" t="s">
        <v>1336</v>
      </c>
      <c r="D1309" s="18">
        <v>5</v>
      </c>
      <c r="E1309" s="15">
        <v>5439</v>
      </c>
      <c r="F1309" s="23" t="s">
        <v>2944</v>
      </c>
      <c r="G1309" s="18" t="s">
        <v>1328</v>
      </c>
      <c r="H1309" s="18">
        <v>73072980</v>
      </c>
      <c r="I1309" s="17">
        <v>0.18</v>
      </c>
      <c r="J1309" s="18" t="s">
        <v>2657</v>
      </c>
    </row>
    <row r="1310" spans="1:10" ht="13" x14ac:dyDescent="0.3">
      <c r="A1310" s="34" t="s">
        <v>392</v>
      </c>
      <c r="B1310" s="23" t="s">
        <v>2518</v>
      </c>
      <c r="C1310" s="13" t="s">
        <v>1337</v>
      </c>
      <c r="D1310" s="18">
        <v>1</v>
      </c>
      <c r="E1310" s="15">
        <v>6135</v>
      </c>
      <c r="F1310" s="23" t="s">
        <v>2944</v>
      </c>
      <c r="G1310" s="18" t="s">
        <v>1328</v>
      </c>
      <c r="H1310" s="18">
        <v>73072980</v>
      </c>
      <c r="I1310" s="17">
        <v>0.18</v>
      </c>
      <c r="J1310" s="18" t="s">
        <v>2657</v>
      </c>
    </row>
    <row r="1311" spans="1:10" ht="13" x14ac:dyDescent="0.3">
      <c r="A1311" s="34" t="s">
        <v>393</v>
      </c>
      <c r="B1311" s="23" t="s">
        <v>2518</v>
      </c>
      <c r="C1311" s="13" t="s">
        <v>1376</v>
      </c>
      <c r="D1311" s="18">
        <v>1</v>
      </c>
      <c r="E1311" s="15">
        <v>7566</v>
      </c>
      <c r="F1311" s="23" t="s">
        <v>2944</v>
      </c>
      <c r="G1311" s="18" t="s">
        <v>1328</v>
      </c>
      <c r="H1311" s="18">
        <v>73072980</v>
      </c>
      <c r="I1311" s="17">
        <v>0.18</v>
      </c>
      <c r="J1311" s="18" t="s">
        <v>2657</v>
      </c>
    </row>
    <row r="1312" spans="1:10" ht="13" x14ac:dyDescent="0.3">
      <c r="A1312" s="34" t="s">
        <v>394</v>
      </c>
      <c r="B1312" s="23" t="s">
        <v>2518</v>
      </c>
      <c r="C1312" s="13" t="s">
        <v>1339</v>
      </c>
      <c r="D1312" s="18">
        <v>1</v>
      </c>
      <c r="E1312" s="15">
        <v>14299</v>
      </c>
      <c r="F1312" s="23" t="s">
        <v>2944</v>
      </c>
      <c r="G1312" s="18" t="s">
        <v>1328</v>
      </c>
      <c r="H1312" s="18">
        <v>73072980</v>
      </c>
      <c r="I1312" s="17">
        <v>0.18</v>
      </c>
      <c r="J1312" s="18" t="s">
        <v>2657</v>
      </c>
    </row>
    <row r="1313" spans="1:10" ht="13" x14ac:dyDescent="0.3">
      <c r="A1313" s="34" t="s">
        <v>395</v>
      </c>
      <c r="B1313" s="23" t="s">
        <v>2519</v>
      </c>
      <c r="C1313" s="13" t="s">
        <v>1334</v>
      </c>
      <c r="D1313" s="18">
        <v>5</v>
      </c>
      <c r="E1313" s="15">
        <v>3401</v>
      </c>
      <c r="F1313" s="23" t="s">
        <v>2945</v>
      </c>
      <c r="G1313" s="18" t="s">
        <v>1328</v>
      </c>
      <c r="H1313" s="18">
        <v>73072980</v>
      </c>
      <c r="I1313" s="17">
        <v>0.18</v>
      </c>
      <c r="J1313" s="18" t="s">
        <v>2657</v>
      </c>
    </row>
    <row r="1314" spans="1:10" ht="13" x14ac:dyDescent="0.3">
      <c r="A1314" s="34" t="s">
        <v>396</v>
      </c>
      <c r="B1314" s="23" t="s">
        <v>2519</v>
      </c>
      <c r="C1314" s="13" t="s">
        <v>1335</v>
      </c>
      <c r="D1314" s="18">
        <v>5</v>
      </c>
      <c r="E1314" s="15">
        <v>3960</v>
      </c>
      <c r="F1314" s="23" t="s">
        <v>2945</v>
      </c>
      <c r="G1314" s="18" t="s">
        <v>1328</v>
      </c>
      <c r="H1314" s="18">
        <v>73072980</v>
      </c>
      <c r="I1314" s="17">
        <v>0.18</v>
      </c>
      <c r="J1314" s="18" t="s">
        <v>2657</v>
      </c>
    </row>
    <row r="1315" spans="1:10" ht="13" x14ac:dyDescent="0.3">
      <c r="A1315" s="34" t="s">
        <v>397</v>
      </c>
      <c r="B1315" s="23" t="s">
        <v>2519</v>
      </c>
      <c r="C1315" s="13" t="s">
        <v>1336</v>
      </c>
      <c r="D1315" s="18">
        <v>5</v>
      </c>
      <c r="E1315" s="15">
        <v>6939</v>
      </c>
      <c r="F1315" s="23" t="s">
        <v>2945</v>
      </c>
      <c r="G1315" s="18" t="s">
        <v>1328</v>
      </c>
      <c r="H1315" s="18">
        <v>73072980</v>
      </c>
      <c r="I1315" s="17">
        <v>0.18</v>
      </c>
      <c r="J1315" s="18" t="s">
        <v>2657</v>
      </c>
    </row>
    <row r="1316" spans="1:10" ht="13" x14ac:dyDescent="0.3">
      <c r="A1316" s="34" t="s">
        <v>398</v>
      </c>
      <c r="B1316" s="23" t="s">
        <v>2519</v>
      </c>
      <c r="C1316" s="13" t="s">
        <v>2468</v>
      </c>
      <c r="D1316" s="18">
        <v>1</v>
      </c>
      <c r="E1316" s="15">
        <v>7223</v>
      </c>
      <c r="F1316" s="23" t="s">
        <v>2945</v>
      </c>
      <c r="G1316" s="18" t="s">
        <v>1328</v>
      </c>
      <c r="H1316" s="18">
        <v>73072980</v>
      </c>
      <c r="I1316" s="17">
        <v>0.18</v>
      </c>
      <c r="J1316" s="18" t="s">
        <v>2657</v>
      </c>
    </row>
    <row r="1317" spans="1:10" ht="13" x14ac:dyDescent="0.3">
      <c r="A1317" s="34" t="s">
        <v>399</v>
      </c>
      <c r="B1317" s="23" t="s">
        <v>2519</v>
      </c>
      <c r="C1317" s="13" t="s">
        <v>1376</v>
      </c>
      <c r="D1317" s="18">
        <v>1</v>
      </c>
      <c r="E1317" s="15">
        <v>9669</v>
      </c>
      <c r="F1317" s="23" t="s">
        <v>2945</v>
      </c>
      <c r="G1317" s="18" t="s">
        <v>1328</v>
      </c>
      <c r="H1317" s="18">
        <v>73072980</v>
      </c>
      <c r="I1317" s="17">
        <v>0.18</v>
      </c>
      <c r="J1317" s="18" t="s">
        <v>2657</v>
      </c>
    </row>
    <row r="1318" spans="1:10" ht="13" x14ac:dyDescent="0.3">
      <c r="A1318" s="34" t="s">
        <v>400</v>
      </c>
      <c r="B1318" s="23" t="s">
        <v>2519</v>
      </c>
      <c r="C1318" s="13" t="s">
        <v>1339</v>
      </c>
      <c r="D1318" s="18">
        <v>1</v>
      </c>
      <c r="E1318" s="15">
        <v>14083</v>
      </c>
      <c r="F1318" s="23" t="s">
        <v>2945</v>
      </c>
      <c r="G1318" s="18" t="s">
        <v>1328</v>
      </c>
      <c r="H1318" s="18">
        <v>73072980</v>
      </c>
      <c r="I1318" s="17">
        <v>0.18</v>
      </c>
      <c r="J1318" s="18" t="s">
        <v>2657</v>
      </c>
    </row>
    <row r="1319" spans="1:10" ht="13" x14ac:dyDescent="0.3">
      <c r="A1319" s="34" t="s">
        <v>401</v>
      </c>
      <c r="B1319" s="23" t="s">
        <v>2520</v>
      </c>
      <c r="C1319" s="13" t="s">
        <v>1374</v>
      </c>
      <c r="D1319" s="18">
        <v>5</v>
      </c>
      <c r="E1319" s="15">
        <v>2765</v>
      </c>
      <c r="F1319" s="23" t="s">
        <v>2946</v>
      </c>
      <c r="G1319" s="18" t="s">
        <v>1328</v>
      </c>
      <c r="H1319" s="18">
        <v>73072980</v>
      </c>
      <c r="I1319" s="17">
        <v>0.18</v>
      </c>
      <c r="J1319" s="18" t="s">
        <v>2657</v>
      </c>
    </row>
    <row r="1320" spans="1:10" ht="13" x14ac:dyDescent="0.3">
      <c r="A1320" s="34" t="s">
        <v>402</v>
      </c>
      <c r="B1320" s="23" t="s">
        <v>2520</v>
      </c>
      <c r="C1320" s="13" t="s">
        <v>1335</v>
      </c>
      <c r="D1320" s="18">
        <v>5</v>
      </c>
      <c r="E1320" s="15">
        <v>3919</v>
      </c>
      <c r="F1320" s="23" t="s">
        <v>2946</v>
      </c>
      <c r="G1320" s="18" t="s">
        <v>1328</v>
      </c>
      <c r="H1320" s="18">
        <v>73072980</v>
      </c>
      <c r="I1320" s="17">
        <v>0.18</v>
      </c>
      <c r="J1320" s="18" t="s">
        <v>2657</v>
      </c>
    </row>
    <row r="1321" spans="1:10" ht="13" x14ac:dyDescent="0.3">
      <c r="A1321" s="34" t="s">
        <v>403</v>
      </c>
      <c r="B1321" s="23" t="s">
        <v>2520</v>
      </c>
      <c r="C1321" s="13" t="s">
        <v>1375</v>
      </c>
      <c r="D1321" s="18">
        <v>5</v>
      </c>
      <c r="E1321" s="15">
        <v>3774</v>
      </c>
      <c r="F1321" s="23" t="s">
        <v>2946</v>
      </c>
      <c r="G1321" s="18" t="s">
        <v>1328</v>
      </c>
      <c r="H1321" s="18">
        <v>73072980</v>
      </c>
      <c r="I1321" s="17">
        <v>0.18</v>
      </c>
      <c r="J1321" s="18" t="s">
        <v>2657</v>
      </c>
    </row>
    <row r="1322" spans="1:10" ht="13" x14ac:dyDescent="0.3">
      <c r="A1322" s="34" t="s">
        <v>1449</v>
      </c>
      <c r="B1322" s="23" t="s">
        <v>2520</v>
      </c>
      <c r="C1322" s="13" t="s">
        <v>1330</v>
      </c>
      <c r="D1322" s="18">
        <v>5</v>
      </c>
      <c r="E1322" s="15">
        <v>4404</v>
      </c>
      <c r="F1322" s="23" t="s">
        <v>2946</v>
      </c>
      <c r="G1322" s="18" t="s">
        <v>1328</v>
      </c>
      <c r="H1322" s="18">
        <v>73072980</v>
      </c>
      <c r="I1322" s="17">
        <v>0.18</v>
      </c>
      <c r="J1322" s="18" t="s">
        <v>2657</v>
      </c>
    </row>
    <row r="1323" spans="1:10" ht="13" x14ac:dyDescent="0.3">
      <c r="A1323" s="34" t="s">
        <v>404</v>
      </c>
      <c r="B1323" s="23" t="s">
        <v>2520</v>
      </c>
      <c r="C1323" s="13" t="s">
        <v>1377</v>
      </c>
      <c r="D1323" s="18">
        <v>5</v>
      </c>
      <c r="E1323" s="15">
        <v>3694</v>
      </c>
      <c r="F1323" s="23" t="s">
        <v>2946</v>
      </c>
      <c r="G1323" s="18" t="s">
        <v>1328</v>
      </c>
      <c r="H1323" s="18">
        <v>73072980</v>
      </c>
      <c r="I1323" s="17">
        <v>0.18</v>
      </c>
      <c r="J1323" s="18" t="s">
        <v>2657</v>
      </c>
    </row>
    <row r="1324" spans="1:10" ht="13" x14ac:dyDescent="0.3">
      <c r="A1324" s="34" t="s">
        <v>2957</v>
      </c>
      <c r="B1324" s="23" t="s">
        <v>2520</v>
      </c>
      <c r="C1324" s="13" t="s">
        <v>2958</v>
      </c>
      <c r="D1324" s="18">
        <v>5</v>
      </c>
      <c r="E1324" s="15">
        <v>4214</v>
      </c>
      <c r="F1324" s="23" t="s">
        <v>2946</v>
      </c>
      <c r="G1324" s="18" t="s">
        <v>1328</v>
      </c>
      <c r="H1324" s="18">
        <v>73072980</v>
      </c>
      <c r="I1324" s="17">
        <v>0.18</v>
      </c>
      <c r="J1324" s="18" t="s">
        <v>2657</v>
      </c>
    </row>
    <row r="1325" spans="1:10" ht="13" x14ac:dyDescent="0.3">
      <c r="A1325" s="34" t="s">
        <v>405</v>
      </c>
      <c r="B1325" s="23" t="s">
        <v>2520</v>
      </c>
      <c r="C1325" s="13" t="s">
        <v>1378</v>
      </c>
      <c r="D1325" s="18">
        <v>1</v>
      </c>
      <c r="E1325" s="15" t="s">
        <v>2936</v>
      </c>
      <c r="F1325" s="23" t="s">
        <v>2946</v>
      </c>
      <c r="G1325" s="18" t="s">
        <v>1328</v>
      </c>
      <c r="H1325" s="18">
        <v>73072980</v>
      </c>
      <c r="I1325" s="17">
        <v>0.18</v>
      </c>
      <c r="J1325" s="18" t="s">
        <v>2657</v>
      </c>
    </row>
    <row r="1326" spans="1:10" ht="13" x14ac:dyDescent="0.3">
      <c r="A1326" s="34" t="s">
        <v>406</v>
      </c>
      <c r="B1326" s="23" t="s">
        <v>2521</v>
      </c>
      <c r="C1326" s="13" t="s">
        <v>1334</v>
      </c>
      <c r="D1326" s="18">
        <v>10</v>
      </c>
      <c r="E1326" s="15">
        <v>2260</v>
      </c>
      <c r="F1326" s="23" t="s">
        <v>2947</v>
      </c>
      <c r="G1326" s="18" t="s">
        <v>1328</v>
      </c>
      <c r="H1326" s="18">
        <v>73072980</v>
      </c>
      <c r="I1326" s="17">
        <v>0.18</v>
      </c>
      <c r="J1326" s="18" t="s">
        <v>2657</v>
      </c>
    </row>
    <row r="1327" spans="1:10" ht="13" x14ac:dyDescent="0.3">
      <c r="A1327" s="34" t="s">
        <v>407</v>
      </c>
      <c r="B1327" s="23" t="s">
        <v>2521</v>
      </c>
      <c r="C1327" s="13" t="s">
        <v>1335</v>
      </c>
      <c r="D1327" s="18">
        <v>5</v>
      </c>
      <c r="E1327" s="15">
        <v>3910</v>
      </c>
      <c r="F1327" s="23" t="s">
        <v>2947</v>
      </c>
      <c r="G1327" s="18" t="s">
        <v>1328</v>
      </c>
      <c r="H1327" s="18">
        <v>73072980</v>
      </c>
      <c r="I1327" s="17">
        <v>0.18</v>
      </c>
      <c r="J1327" s="18" t="s">
        <v>2657</v>
      </c>
    </row>
    <row r="1328" spans="1:10" ht="13" x14ac:dyDescent="0.3">
      <c r="A1328" s="34" t="s">
        <v>408</v>
      </c>
      <c r="B1328" s="23" t="s">
        <v>2521</v>
      </c>
      <c r="C1328" s="13" t="s">
        <v>1336</v>
      </c>
      <c r="D1328" s="18">
        <v>5</v>
      </c>
      <c r="E1328" s="15">
        <v>4442</v>
      </c>
      <c r="F1328" s="23" t="s">
        <v>2947</v>
      </c>
      <c r="G1328" s="18" t="s">
        <v>1328</v>
      </c>
      <c r="H1328" s="18">
        <v>73072980</v>
      </c>
      <c r="I1328" s="17">
        <v>0.18</v>
      </c>
      <c r="J1328" s="18" t="s">
        <v>2657</v>
      </c>
    </row>
    <row r="1329" spans="1:10" ht="13" x14ac:dyDescent="0.3">
      <c r="A1329" s="34" t="s">
        <v>409</v>
      </c>
      <c r="B1329" s="23" t="s">
        <v>2522</v>
      </c>
      <c r="C1329" s="13">
        <v>15</v>
      </c>
      <c r="D1329" s="18">
        <v>10</v>
      </c>
      <c r="E1329" s="15">
        <v>1164</v>
      </c>
      <c r="F1329" s="23" t="s">
        <v>2948</v>
      </c>
      <c r="G1329" s="18" t="s">
        <v>519</v>
      </c>
      <c r="H1329" s="18">
        <v>73072980</v>
      </c>
      <c r="I1329" s="17">
        <v>0.18</v>
      </c>
      <c r="J1329" s="18" t="s">
        <v>2657</v>
      </c>
    </row>
    <row r="1330" spans="1:10" ht="13" x14ac:dyDescent="0.3">
      <c r="A1330" s="34" t="s">
        <v>410</v>
      </c>
      <c r="B1330" s="23" t="s">
        <v>2522</v>
      </c>
      <c r="C1330" s="13">
        <v>22</v>
      </c>
      <c r="D1330" s="18">
        <v>10</v>
      </c>
      <c r="E1330" s="15">
        <v>1659</v>
      </c>
      <c r="F1330" s="23" t="s">
        <v>2948</v>
      </c>
      <c r="G1330" s="18" t="s">
        <v>519</v>
      </c>
      <c r="H1330" s="18">
        <v>73072980</v>
      </c>
      <c r="I1330" s="17">
        <v>0.18</v>
      </c>
      <c r="J1330" s="18" t="s">
        <v>2657</v>
      </c>
    </row>
    <row r="1331" spans="1:10" ht="13" x14ac:dyDescent="0.3">
      <c r="A1331" s="34" t="s">
        <v>411</v>
      </c>
      <c r="B1331" s="23" t="s">
        <v>2522</v>
      </c>
      <c r="C1331" s="13">
        <v>28</v>
      </c>
      <c r="D1331" s="18">
        <v>5</v>
      </c>
      <c r="E1331" s="15">
        <v>2183</v>
      </c>
      <c r="F1331" s="23" t="s">
        <v>2948</v>
      </c>
      <c r="G1331" s="18" t="s">
        <v>519</v>
      </c>
      <c r="H1331" s="18">
        <v>73072980</v>
      </c>
      <c r="I1331" s="17">
        <v>0.18</v>
      </c>
      <c r="J1331" s="18" t="s">
        <v>2657</v>
      </c>
    </row>
    <row r="1332" spans="1:10" ht="13" x14ac:dyDescent="0.3">
      <c r="A1332" s="34" t="s">
        <v>412</v>
      </c>
      <c r="B1332" s="23" t="s">
        <v>2522</v>
      </c>
      <c r="C1332" s="13">
        <v>35</v>
      </c>
      <c r="D1332" s="18">
        <v>5</v>
      </c>
      <c r="E1332" s="15">
        <v>3560</v>
      </c>
      <c r="F1332" s="23" t="s">
        <v>2948</v>
      </c>
      <c r="G1332" s="18" t="s">
        <v>519</v>
      </c>
      <c r="H1332" s="18">
        <v>73072980</v>
      </c>
      <c r="I1332" s="17">
        <v>0.18</v>
      </c>
      <c r="J1332" s="18" t="s">
        <v>2657</v>
      </c>
    </row>
    <row r="1333" spans="1:10" ht="13" x14ac:dyDescent="0.3">
      <c r="A1333" s="34" t="s">
        <v>413</v>
      </c>
      <c r="B1333" s="23" t="s">
        <v>2522</v>
      </c>
      <c r="C1333" s="13">
        <v>42</v>
      </c>
      <c r="D1333" s="18">
        <v>2</v>
      </c>
      <c r="E1333" s="15">
        <v>5772</v>
      </c>
      <c r="F1333" s="23" t="s">
        <v>2948</v>
      </c>
      <c r="G1333" s="18" t="s">
        <v>519</v>
      </c>
      <c r="H1333" s="18">
        <v>73072980</v>
      </c>
      <c r="I1333" s="17">
        <v>0.18</v>
      </c>
      <c r="J1333" s="18" t="s">
        <v>2657</v>
      </c>
    </row>
    <row r="1334" spans="1:10" ht="13" x14ac:dyDescent="0.3">
      <c r="A1334" s="34" t="s">
        <v>414</v>
      </c>
      <c r="B1334" s="23" t="s">
        <v>2522</v>
      </c>
      <c r="C1334" s="13">
        <v>54</v>
      </c>
      <c r="D1334" s="18">
        <v>2</v>
      </c>
      <c r="E1334" s="15">
        <v>7634</v>
      </c>
      <c r="F1334" s="23" t="s">
        <v>2948</v>
      </c>
      <c r="G1334" s="18" t="s">
        <v>519</v>
      </c>
      <c r="H1334" s="18">
        <v>73072980</v>
      </c>
      <c r="I1334" s="17">
        <v>0.18</v>
      </c>
      <c r="J1334" s="18" t="s">
        <v>2657</v>
      </c>
    </row>
    <row r="1335" spans="1:10" ht="13" x14ac:dyDescent="0.3">
      <c r="A1335" s="34" t="s">
        <v>415</v>
      </c>
      <c r="B1335" s="23" t="s">
        <v>2522</v>
      </c>
      <c r="C1335" s="13">
        <v>76.099999999999994</v>
      </c>
      <c r="D1335" s="18">
        <v>1</v>
      </c>
      <c r="E1335" s="15">
        <v>15482</v>
      </c>
      <c r="F1335" s="23" t="s">
        <v>2948</v>
      </c>
      <c r="G1335" s="18" t="s">
        <v>519</v>
      </c>
      <c r="H1335" s="18">
        <v>73072980</v>
      </c>
      <c r="I1335" s="17">
        <v>0.18</v>
      </c>
      <c r="J1335" s="18" t="s">
        <v>2657</v>
      </c>
    </row>
    <row r="1336" spans="1:10" ht="13" x14ac:dyDescent="0.3">
      <c r="A1336" s="34" t="s">
        <v>416</v>
      </c>
      <c r="B1336" s="23" t="s">
        <v>2522</v>
      </c>
      <c r="C1336" s="13">
        <v>88.9</v>
      </c>
      <c r="D1336" s="18">
        <v>1</v>
      </c>
      <c r="E1336" s="15">
        <v>18605</v>
      </c>
      <c r="F1336" s="23" t="s">
        <v>2948</v>
      </c>
      <c r="G1336" s="18" t="s">
        <v>519</v>
      </c>
      <c r="H1336" s="18">
        <v>73072980</v>
      </c>
      <c r="I1336" s="17">
        <v>0.18</v>
      </c>
      <c r="J1336" s="18" t="s">
        <v>2657</v>
      </c>
    </row>
    <row r="1337" spans="1:10" ht="13" x14ac:dyDescent="0.3">
      <c r="A1337" s="34" t="s">
        <v>417</v>
      </c>
      <c r="B1337" s="23" t="s">
        <v>2522</v>
      </c>
      <c r="C1337" s="13">
        <v>108</v>
      </c>
      <c r="D1337" s="18">
        <v>1</v>
      </c>
      <c r="E1337" s="15">
        <v>26511</v>
      </c>
      <c r="F1337" s="23" t="s">
        <v>2948</v>
      </c>
      <c r="G1337" s="18" t="s">
        <v>519</v>
      </c>
      <c r="H1337" s="18">
        <v>73072980</v>
      </c>
      <c r="I1337" s="17">
        <v>0.18</v>
      </c>
      <c r="J1337" s="18" t="s">
        <v>2657</v>
      </c>
    </row>
    <row r="1338" spans="1:10" ht="13" x14ac:dyDescent="0.3">
      <c r="A1338" s="34" t="s">
        <v>418</v>
      </c>
      <c r="B1338" s="23" t="s">
        <v>2523</v>
      </c>
      <c r="C1338" s="13">
        <v>15</v>
      </c>
      <c r="D1338" s="18">
        <v>10</v>
      </c>
      <c r="E1338" s="15">
        <v>1300</v>
      </c>
      <c r="F1338" s="23" t="s">
        <v>2949</v>
      </c>
      <c r="G1338" s="18" t="s">
        <v>519</v>
      </c>
      <c r="H1338" s="18">
        <v>73072980</v>
      </c>
      <c r="I1338" s="17">
        <v>0.18</v>
      </c>
      <c r="J1338" s="18" t="s">
        <v>2657</v>
      </c>
    </row>
    <row r="1339" spans="1:10" ht="13" x14ac:dyDescent="0.3">
      <c r="A1339" s="34" t="s">
        <v>419</v>
      </c>
      <c r="B1339" s="23" t="s">
        <v>2523</v>
      </c>
      <c r="C1339" s="13">
        <v>22</v>
      </c>
      <c r="D1339" s="18">
        <v>10</v>
      </c>
      <c r="E1339" s="15">
        <v>1795</v>
      </c>
      <c r="F1339" s="23" t="s">
        <v>2949</v>
      </c>
      <c r="G1339" s="18" t="s">
        <v>519</v>
      </c>
      <c r="H1339" s="18">
        <v>73072980</v>
      </c>
      <c r="I1339" s="17">
        <v>0.18</v>
      </c>
      <c r="J1339" s="18" t="s">
        <v>2657</v>
      </c>
    </row>
    <row r="1340" spans="1:10" ht="13" x14ac:dyDescent="0.3">
      <c r="A1340" s="34" t="s">
        <v>420</v>
      </c>
      <c r="B1340" s="23" t="s">
        <v>2523</v>
      </c>
      <c r="C1340" s="13">
        <v>28</v>
      </c>
      <c r="D1340" s="18">
        <v>5</v>
      </c>
      <c r="E1340" s="15">
        <v>2348</v>
      </c>
      <c r="F1340" s="23" t="s">
        <v>2949</v>
      </c>
      <c r="G1340" s="18" t="s">
        <v>519</v>
      </c>
      <c r="H1340" s="18">
        <v>73072980</v>
      </c>
      <c r="I1340" s="17">
        <v>0.18</v>
      </c>
      <c r="J1340" s="18" t="s">
        <v>2657</v>
      </c>
    </row>
    <row r="1341" spans="1:10" ht="13" x14ac:dyDescent="0.3">
      <c r="A1341" s="34" t="s">
        <v>421</v>
      </c>
      <c r="B1341" s="23" t="s">
        <v>2523</v>
      </c>
      <c r="C1341" s="13">
        <v>35</v>
      </c>
      <c r="D1341" s="18">
        <v>5</v>
      </c>
      <c r="E1341" s="15">
        <v>3512</v>
      </c>
      <c r="F1341" s="23" t="s">
        <v>2949</v>
      </c>
      <c r="G1341" s="18" t="s">
        <v>519</v>
      </c>
      <c r="H1341" s="18">
        <v>73072980</v>
      </c>
      <c r="I1341" s="17">
        <v>0.18</v>
      </c>
      <c r="J1341" s="18" t="s">
        <v>2657</v>
      </c>
    </row>
    <row r="1342" spans="1:10" ht="13" x14ac:dyDescent="0.3">
      <c r="A1342" s="34" t="s">
        <v>422</v>
      </c>
      <c r="B1342" s="23" t="s">
        <v>2523</v>
      </c>
      <c r="C1342" s="13">
        <v>42</v>
      </c>
      <c r="D1342" s="18">
        <v>2</v>
      </c>
      <c r="E1342" s="15">
        <v>5888</v>
      </c>
      <c r="F1342" s="23" t="s">
        <v>2949</v>
      </c>
      <c r="G1342" s="18" t="s">
        <v>519</v>
      </c>
      <c r="H1342" s="18">
        <v>73072980</v>
      </c>
      <c r="I1342" s="17">
        <v>0.18</v>
      </c>
      <c r="J1342" s="18" t="s">
        <v>2657</v>
      </c>
    </row>
    <row r="1343" spans="1:10" ht="13" x14ac:dyDescent="0.3">
      <c r="A1343" s="34" t="s">
        <v>423</v>
      </c>
      <c r="B1343" s="23" t="s">
        <v>2523</v>
      </c>
      <c r="C1343" s="13">
        <v>54</v>
      </c>
      <c r="D1343" s="18">
        <v>2</v>
      </c>
      <c r="E1343" s="15">
        <v>8333</v>
      </c>
      <c r="F1343" s="23" t="s">
        <v>2949</v>
      </c>
      <c r="G1343" s="18" t="s">
        <v>519</v>
      </c>
      <c r="H1343" s="18">
        <v>73072980</v>
      </c>
      <c r="I1343" s="17">
        <v>0.18</v>
      </c>
      <c r="J1343" s="18" t="s">
        <v>2657</v>
      </c>
    </row>
    <row r="1344" spans="1:10" ht="13" x14ac:dyDescent="0.3">
      <c r="A1344" s="34" t="s">
        <v>424</v>
      </c>
      <c r="B1344" s="23" t="s">
        <v>2523</v>
      </c>
      <c r="C1344" s="13">
        <v>76.099999999999994</v>
      </c>
      <c r="D1344" s="18">
        <v>2</v>
      </c>
      <c r="E1344" s="15">
        <v>21593</v>
      </c>
      <c r="F1344" s="23" t="s">
        <v>2949</v>
      </c>
      <c r="G1344" s="18" t="s">
        <v>519</v>
      </c>
      <c r="H1344" s="18">
        <v>73072980</v>
      </c>
      <c r="I1344" s="17">
        <v>0.18</v>
      </c>
      <c r="J1344" s="18" t="s">
        <v>2657</v>
      </c>
    </row>
    <row r="1345" spans="1:10" ht="13" x14ac:dyDescent="0.3">
      <c r="A1345" s="34" t="s">
        <v>425</v>
      </c>
      <c r="B1345" s="23" t="s">
        <v>2523</v>
      </c>
      <c r="C1345" s="13">
        <v>88.9</v>
      </c>
      <c r="D1345" s="18">
        <v>2</v>
      </c>
      <c r="E1345" s="15">
        <v>16132</v>
      </c>
      <c r="F1345" s="23" t="s">
        <v>2949</v>
      </c>
      <c r="G1345" s="18" t="s">
        <v>519</v>
      </c>
      <c r="H1345" s="18">
        <v>73072980</v>
      </c>
      <c r="I1345" s="17">
        <v>0.18</v>
      </c>
      <c r="J1345" s="18" t="s">
        <v>2657</v>
      </c>
    </row>
    <row r="1346" spans="1:10" ht="13" x14ac:dyDescent="0.3">
      <c r="A1346" s="34" t="s">
        <v>426</v>
      </c>
      <c r="B1346" s="23" t="s">
        <v>2523</v>
      </c>
      <c r="C1346" s="13">
        <v>108</v>
      </c>
      <c r="D1346" s="18">
        <v>2</v>
      </c>
      <c r="E1346" s="15">
        <v>25870</v>
      </c>
      <c r="F1346" s="23" t="s">
        <v>2949</v>
      </c>
      <c r="G1346" s="18" t="s">
        <v>519</v>
      </c>
      <c r="H1346" s="18">
        <v>73072980</v>
      </c>
      <c r="I1346" s="17">
        <v>0.18</v>
      </c>
      <c r="J1346" s="18" t="s">
        <v>2657</v>
      </c>
    </row>
    <row r="1347" spans="1:10" ht="13" x14ac:dyDescent="0.3">
      <c r="A1347" s="34" t="s">
        <v>427</v>
      </c>
      <c r="B1347" s="23" t="s">
        <v>2524</v>
      </c>
      <c r="C1347" s="13">
        <v>15</v>
      </c>
      <c r="D1347" s="18">
        <v>5</v>
      </c>
      <c r="E1347" s="15">
        <v>1136</v>
      </c>
      <c r="F1347" s="23" t="s">
        <v>2950</v>
      </c>
      <c r="G1347" s="18" t="s">
        <v>519</v>
      </c>
      <c r="H1347" s="18">
        <v>73072980</v>
      </c>
      <c r="I1347" s="17">
        <v>0.18</v>
      </c>
      <c r="J1347" s="18" t="s">
        <v>2657</v>
      </c>
    </row>
    <row r="1348" spans="1:10" ht="13" x14ac:dyDescent="0.3">
      <c r="A1348" s="34" t="s">
        <v>428</v>
      </c>
      <c r="B1348" s="23" t="s">
        <v>2524</v>
      </c>
      <c r="C1348" s="13">
        <v>22</v>
      </c>
      <c r="D1348" s="18">
        <v>1</v>
      </c>
      <c r="E1348" s="15">
        <v>4239</v>
      </c>
      <c r="F1348" s="23" t="s">
        <v>2950</v>
      </c>
      <c r="G1348" s="18" t="s">
        <v>519</v>
      </c>
      <c r="H1348" s="18">
        <v>73072980</v>
      </c>
      <c r="I1348" s="17">
        <v>0.18</v>
      </c>
      <c r="J1348" s="18" t="s">
        <v>2657</v>
      </c>
    </row>
    <row r="1349" spans="1:10" ht="13" x14ac:dyDescent="0.3">
      <c r="A1349" s="34" t="s">
        <v>429</v>
      </c>
      <c r="B1349" s="23" t="s">
        <v>2524</v>
      </c>
      <c r="C1349" s="13">
        <v>28</v>
      </c>
      <c r="D1349" s="18">
        <v>5</v>
      </c>
      <c r="E1349" s="15">
        <v>2387</v>
      </c>
      <c r="F1349" s="23" t="s">
        <v>2950</v>
      </c>
      <c r="G1349" s="18" t="s">
        <v>519</v>
      </c>
      <c r="H1349" s="18">
        <v>73072980</v>
      </c>
      <c r="I1349" s="17">
        <v>0.18</v>
      </c>
      <c r="J1349" s="18" t="s">
        <v>2657</v>
      </c>
    </row>
    <row r="1350" spans="1:10" ht="13" x14ac:dyDescent="0.3">
      <c r="A1350" s="34" t="s">
        <v>430</v>
      </c>
      <c r="B1350" s="23" t="s">
        <v>2525</v>
      </c>
      <c r="C1350" s="13">
        <v>15</v>
      </c>
      <c r="D1350" s="18">
        <v>5</v>
      </c>
      <c r="E1350" s="15">
        <v>5927</v>
      </c>
      <c r="F1350" s="23" t="s">
        <v>2951</v>
      </c>
      <c r="G1350" s="18" t="s">
        <v>519</v>
      </c>
      <c r="H1350" s="18">
        <v>73072980</v>
      </c>
      <c r="I1350" s="17">
        <v>0.18</v>
      </c>
      <c r="J1350" s="18" t="s">
        <v>2657</v>
      </c>
    </row>
    <row r="1351" spans="1:10" ht="13" x14ac:dyDescent="0.3">
      <c r="A1351" s="34" t="s">
        <v>431</v>
      </c>
      <c r="B1351" s="23" t="s">
        <v>2525</v>
      </c>
      <c r="C1351" s="13">
        <v>22</v>
      </c>
      <c r="D1351" s="18">
        <v>2</v>
      </c>
      <c r="E1351" s="15">
        <v>7954</v>
      </c>
      <c r="F1351" s="23" t="s">
        <v>2951</v>
      </c>
      <c r="G1351" s="18" t="s">
        <v>519</v>
      </c>
      <c r="H1351" s="18">
        <v>73072980</v>
      </c>
      <c r="I1351" s="17">
        <v>0.18</v>
      </c>
      <c r="J1351" s="18" t="s">
        <v>2657</v>
      </c>
    </row>
    <row r="1352" spans="1:10" ht="13" x14ac:dyDescent="0.3">
      <c r="A1352" s="34" t="s">
        <v>432</v>
      </c>
      <c r="B1352" s="23" t="s">
        <v>2525</v>
      </c>
      <c r="C1352" s="13">
        <v>28</v>
      </c>
      <c r="D1352" s="18">
        <v>2</v>
      </c>
      <c r="E1352" s="15">
        <v>5927</v>
      </c>
      <c r="F1352" s="23" t="s">
        <v>2951</v>
      </c>
      <c r="G1352" s="18" t="s">
        <v>519</v>
      </c>
      <c r="H1352" s="18">
        <v>73072980</v>
      </c>
      <c r="I1352" s="17">
        <v>0.18</v>
      </c>
      <c r="J1352" s="18" t="s">
        <v>2657</v>
      </c>
    </row>
    <row r="1353" spans="1:10" ht="13" x14ac:dyDescent="0.3">
      <c r="A1353" s="34" t="s">
        <v>433</v>
      </c>
      <c r="B1353" s="23" t="s">
        <v>2526</v>
      </c>
      <c r="C1353" s="13" t="s">
        <v>1379</v>
      </c>
      <c r="D1353" s="18">
        <v>10</v>
      </c>
      <c r="E1353" s="15">
        <v>1921</v>
      </c>
      <c r="F1353" s="23" t="s">
        <v>2952</v>
      </c>
      <c r="G1353" s="18" t="s">
        <v>519</v>
      </c>
      <c r="H1353" s="18">
        <v>73072980</v>
      </c>
      <c r="I1353" s="17">
        <v>0.18</v>
      </c>
      <c r="J1353" s="18" t="s">
        <v>2657</v>
      </c>
    </row>
    <row r="1354" spans="1:10" ht="13" x14ac:dyDescent="0.3">
      <c r="A1354" s="34" t="s">
        <v>434</v>
      </c>
      <c r="B1354" s="23" t="s">
        <v>2526</v>
      </c>
      <c r="C1354" s="13" t="s">
        <v>1380</v>
      </c>
      <c r="D1354" s="18">
        <v>5</v>
      </c>
      <c r="E1354" s="15">
        <v>2251</v>
      </c>
      <c r="F1354" s="23" t="s">
        <v>2952</v>
      </c>
      <c r="G1354" s="18" t="s">
        <v>519</v>
      </c>
      <c r="H1354" s="18">
        <v>73072980</v>
      </c>
      <c r="I1354" s="17">
        <v>0.18</v>
      </c>
      <c r="J1354" s="18" t="s">
        <v>2657</v>
      </c>
    </row>
    <row r="1355" spans="1:10" ht="13" x14ac:dyDescent="0.3">
      <c r="A1355" s="34" t="s">
        <v>435</v>
      </c>
      <c r="B1355" s="23" t="s">
        <v>2526</v>
      </c>
      <c r="C1355" s="13" t="s">
        <v>1381</v>
      </c>
      <c r="D1355" s="18">
        <v>5</v>
      </c>
      <c r="E1355" s="15">
        <v>2823</v>
      </c>
      <c r="F1355" s="23" t="s">
        <v>2952</v>
      </c>
      <c r="G1355" s="18" t="s">
        <v>519</v>
      </c>
      <c r="H1355" s="18">
        <v>73072980</v>
      </c>
      <c r="I1355" s="17">
        <v>0.18</v>
      </c>
      <c r="J1355" s="18" t="s">
        <v>2657</v>
      </c>
    </row>
    <row r="1356" spans="1:10" ht="13" x14ac:dyDescent="0.3">
      <c r="A1356" s="34" t="s">
        <v>436</v>
      </c>
      <c r="B1356" s="23" t="s">
        <v>2526</v>
      </c>
      <c r="C1356" s="13" t="s">
        <v>1382</v>
      </c>
      <c r="D1356" s="18">
        <v>5</v>
      </c>
      <c r="E1356" s="15">
        <v>3405</v>
      </c>
      <c r="F1356" s="23" t="s">
        <v>2952</v>
      </c>
      <c r="G1356" s="18" t="s">
        <v>519</v>
      </c>
      <c r="H1356" s="18">
        <v>73072980</v>
      </c>
      <c r="I1356" s="17">
        <v>0.18</v>
      </c>
      <c r="J1356" s="18" t="s">
        <v>2657</v>
      </c>
    </row>
    <row r="1357" spans="1:10" ht="13" x14ac:dyDescent="0.3">
      <c r="A1357" s="34" t="s">
        <v>437</v>
      </c>
      <c r="B1357" s="23" t="s">
        <v>2526</v>
      </c>
      <c r="C1357" s="13" t="s">
        <v>1383</v>
      </c>
      <c r="D1357" s="18">
        <v>2</v>
      </c>
      <c r="E1357" s="15">
        <v>4763</v>
      </c>
      <c r="F1357" s="23" t="s">
        <v>2952</v>
      </c>
      <c r="G1357" s="18" t="s">
        <v>519</v>
      </c>
      <c r="H1357" s="18">
        <v>73072980</v>
      </c>
      <c r="I1357" s="17">
        <v>0.18</v>
      </c>
      <c r="J1357" s="18" t="s">
        <v>2657</v>
      </c>
    </row>
    <row r="1358" spans="1:10" ht="13" x14ac:dyDescent="0.3">
      <c r="A1358" s="34" t="s">
        <v>438</v>
      </c>
      <c r="B1358" s="23" t="s">
        <v>2526</v>
      </c>
      <c r="C1358" s="13" t="s">
        <v>1384</v>
      </c>
      <c r="D1358" s="18">
        <v>2</v>
      </c>
      <c r="E1358" s="15">
        <v>5947</v>
      </c>
      <c r="F1358" s="23" t="s">
        <v>2952</v>
      </c>
      <c r="G1358" s="18" t="s">
        <v>519</v>
      </c>
      <c r="H1358" s="18">
        <v>73072980</v>
      </c>
      <c r="I1358" s="17">
        <v>0.18</v>
      </c>
      <c r="J1358" s="18" t="s">
        <v>2657</v>
      </c>
    </row>
    <row r="1359" spans="1:10" ht="13" x14ac:dyDescent="0.3">
      <c r="A1359" s="34" t="s">
        <v>439</v>
      </c>
      <c r="B1359" s="23" t="s">
        <v>2526</v>
      </c>
      <c r="C1359" s="13" t="s">
        <v>1385</v>
      </c>
      <c r="D1359" s="18">
        <v>2</v>
      </c>
      <c r="E1359" s="15">
        <v>26055</v>
      </c>
      <c r="F1359" s="23" t="s">
        <v>2952</v>
      </c>
      <c r="G1359" s="18" t="s">
        <v>519</v>
      </c>
      <c r="H1359" s="18">
        <v>73072980</v>
      </c>
      <c r="I1359" s="17">
        <v>0.18</v>
      </c>
      <c r="J1359" s="18" t="s">
        <v>2657</v>
      </c>
    </row>
    <row r="1360" spans="1:10" ht="13" x14ac:dyDescent="0.3">
      <c r="A1360" s="34" t="s">
        <v>440</v>
      </c>
      <c r="B1360" s="23" t="s">
        <v>2526</v>
      </c>
      <c r="C1360" s="13" t="s">
        <v>1386</v>
      </c>
      <c r="D1360" s="18">
        <v>2</v>
      </c>
      <c r="E1360" s="15">
        <v>29964</v>
      </c>
      <c r="F1360" s="23" t="s">
        <v>2952</v>
      </c>
      <c r="G1360" s="18" t="s">
        <v>519</v>
      </c>
      <c r="H1360" s="18">
        <v>73072980</v>
      </c>
      <c r="I1360" s="17">
        <v>0.18</v>
      </c>
      <c r="J1360" s="18" t="s">
        <v>2657</v>
      </c>
    </row>
    <row r="1361" spans="1:10" ht="13" x14ac:dyDescent="0.3">
      <c r="A1361" s="34" t="s">
        <v>1387</v>
      </c>
      <c r="B1361" s="23" t="s">
        <v>2526</v>
      </c>
      <c r="C1361" s="13" t="s">
        <v>1388</v>
      </c>
      <c r="D1361" s="18">
        <v>2</v>
      </c>
      <c r="E1361" s="15" t="s">
        <v>2936</v>
      </c>
      <c r="F1361" s="23" t="s">
        <v>2952</v>
      </c>
      <c r="G1361" s="18" t="s">
        <v>519</v>
      </c>
      <c r="H1361" s="18">
        <v>73072980</v>
      </c>
      <c r="I1361" s="17">
        <v>0.18</v>
      </c>
      <c r="J1361" s="18" t="s">
        <v>2657</v>
      </c>
    </row>
    <row r="1362" spans="1:10" ht="13" x14ac:dyDescent="0.3">
      <c r="A1362" s="34" t="s">
        <v>441</v>
      </c>
      <c r="B1362" s="23" t="s">
        <v>2527</v>
      </c>
      <c r="C1362" s="13" t="s">
        <v>1389</v>
      </c>
      <c r="D1362" s="18">
        <v>10</v>
      </c>
      <c r="E1362" s="15">
        <v>2183</v>
      </c>
      <c r="F1362" s="23" t="s">
        <v>2953</v>
      </c>
      <c r="G1362" s="18" t="s">
        <v>519</v>
      </c>
      <c r="H1362" s="18">
        <v>73072980</v>
      </c>
      <c r="I1362" s="17">
        <v>0.18</v>
      </c>
      <c r="J1362" s="18" t="s">
        <v>2657</v>
      </c>
    </row>
    <row r="1363" spans="1:10" ht="13" x14ac:dyDescent="0.3">
      <c r="A1363" s="34" t="s">
        <v>442</v>
      </c>
      <c r="B1363" s="23" t="s">
        <v>2527</v>
      </c>
      <c r="C1363" s="13" t="s">
        <v>1390</v>
      </c>
      <c r="D1363" s="18">
        <v>5</v>
      </c>
      <c r="E1363" s="15">
        <v>2726</v>
      </c>
      <c r="F1363" s="23" t="s">
        <v>2953</v>
      </c>
      <c r="G1363" s="18" t="s">
        <v>519</v>
      </c>
      <c r="H1363" s="18">
        <v>73072980</v>
      </c>
      <c r="I1363" s="17">
        <v>0.18</v>
      </c>
      <c r="J1363" s="18" t="s">
        <v>2657</v>
      </c>
    </row>
    <row r="1364" spans="1:10" ht="13" x14ac:dyDescent="0.3">
      <c r="A1364" s="34" t="s">
        <v>443</v>
      </c>
      <c r="B1364" s="23" t="s">
        <v>2527</v>
      </c>
      <c r="C1364" s="13" t="s">
        <v>1391</v>
      </c>
      <c r="D1364" s="18">
        <v>5</v>
      </c>
      <c r="E1364" s="15">
        <v>2707</v>
      </c>
      <c r="F1364" s="23" t="s">
        <v>2953</v>
      </c>
      <c r="G1364" s="18" t="s">
        <v>519</v>
      </c>
      <c r="H1364" s="18">
        <v>73072980</v>
      </c>
      <c r="I1364" s="17">
        <v>0.18</v>
      </c>
      <c r="J1364" s="18" t="s">
        <v>2657</v>
      </c>
    </row>
    <row r="1365" spans="1:10" ht="13" x14ac:dyDescent="0.3">
      <c r="A1365" s="34" t="s">
        <v>444</v>
      </c>
      <c r="B1365" s="23" t="s">
        <v>2527</v>
      </c>
      <c r="C1365" s="13" t="s">
        <v>1392</v>
      </c>
      <c r="D1365" s="18">
        <v>2</v>
      </c>
      <c r="E1365" s="15">
        <v>3415</v>
      </c>
      <c r="F1365" s="23" t="s">
        <v>2953</v>
      </c>
      <c r="G1365" s="18" t="s">
        <v>519</v>
      </c>
      <c r="H1365" s="18">
        <v>73072980</v>
      </c>
      <c r="I1365" s="17">
        <v>0.18</v>
      </c>
      <c r="J1365" s="18" t="s">
        <v>2657</v>
      </c>
    </row>
    <row r="1366" spans="1:10" ht="13" x14ac:dyDescent="0.3">
      <c r="A1366" s="34" t="s">
        <v>445</v>
      </c>
      <c r="B1366" s="23" t="s">
        <v>2527</v>
      </c>
      <c r="C1366" s="13" t="s">
        <v>1393</v>
      </c>
      <c r="D1366" s="18">
        <v>2</v>
      </c>
      <c r="E1366" s="15">
        <v>3425</v>
      </c>
      <c r="F1366" s="23" t="s">
        <v>2953</v>
      </c>
      <c r="G1366" s="18" t="s">
        <v>519</v>
      </c>
      <c r="H1366" s="18">
        <v>73072980</v>
      </c>
      <c r="I1366" s="17">
        <v>0.18</v>
      </c>
      <c r="J1366" s="18" t="s">
        <v>2657</v>
      </c>
    </row>
    <row r="1367" spans="1:10" ht="13" x14ac:dyDescent="0.3">
      <c r="A1367" s="34" t="s">
        <v>446</v>
      </c>
      <c r="B1367" s="23" t="s">
        <v>2527</v>
      </c>
      <c r="C1367" s="13" t="s">
        <v>1394</v>
      </c>
      <c r="D1367" s="18">
        <v>2</v>
      </c>
      <c r="E1367" s="15">
        <v>3492</v>
      </c>
      <c r="F1367" s="23" t="s">
        <v>2953</v>
      </c>
      <c r="G1367" s="18" t="s">
        <v>519</v>
      </c>
      <c r="H1367" s="18">
        <v>73072980</v>
      </c>
      <c r="I1367" s="17">
        <v>0.18</v>
      </c>
      <c r="J1367" s="18" t="s">
        <v>2657</v>
      </c>
    </row>
    <row r="1368" spans="1:10" ht="13" x14ac:dyDescent="0.3">
      <c r="A1368" s="34" t="s">
        <v>447</v>
      </c>
      <c r="B1368" s="23" t="s">
        <v>2527</v>
      </c>
      <c r="C1368" s="13" t="s">
        <v>1395</v>
      </c>
      <c r="D1368" s="18">
        <v>2</v>
      </c>
      <c r="E1368" s="15">
        <v>4860</v>
      </c>
      <c r="F1368" s="23" t="s">
        <v>2953</v>
      </c>
      <c r="G1368" s="18" t="s">
        <v>519</v>
      </c>
      <c r="H1368" s="18">
        <v>73072980</v>
      </c>
      <c r="I1368" s="17">
        <v>0.18</v>
      </c>
      <c r="J1368" s="18" t="s">
        <v>2657</v>
      </c>
    </row>
    <row r="1369" spans="1:10" ht="13" x14ac:dyDescent="0.3">
      <c r="A1369" s="34" t="s">
        <v>448</v>
      </c>
      <c r="B1369" s="23" t="s">
        <v>2527</v>
      </c>
      <c r="C1369" s="13" t="s">
        <v>1396</v>
      </c>
      <c r="D1369" s="18">
        <v>2</v>
      </c>
      <c r="E1369" s="15">
        <v>4812</v>
      </c>
      <c r="F1369" s="23" t="s">
        <v>2953</v>
      </c>
      <c r="G1369" s="18" t="s">
        <v>519</v>
      </c>
      <c r="H1369" s="18">
        <v>73072980</v>
      </c>
      <c r="I1369" s="17">
        <v>0.18</v>
      </c>
      <c r="J1369" s="18" t="s">
        <v>2657</v>
      </c>
    </row>
    <row r="1370" spans="1:10" ht="13" x14ac:dyDescent="0.3">
      <c r="A1370" s="34" t="s">
        <v>449</v>
      </c>
      <c r="B1370" s="23" t="s">
        <v>2527</v>
      </c>
      <c r="C1370" s="13" t="s">
        <v>1397</v>
      </c>
      <c r="D1370" s="18">
        <v>2</v>
      </c>
      <c r="E1370" s="15">
        <v>4880</v>
      </c>
      <c r="F1370" s="23" t="s">
        <v>2953</v>
      </c>
      <c r="G1370" s="18" t="s">
        <v>519</v>
      </c>
      <c r="H1370" s="18">
        <v>73072980</v>
      </c>
      <c r="I1370" s="17">
        <v>0.18</v>
      </c>
      <c r="J1370" s="18" t="s">
        <v>2657</v>
      </c>
    </row>
    <row r="1371" spans="1:10" ht="13" x14ac:dyDescent="0.3">
      <c r="A1371" s="34" t="s">
        <v>450</v>
      </c>
      <c r="B1371" s="23" t="s">
        <v>2527</v>
      </c>
      <c r="C1371" s="13" t="s">
        <v>1398</v>
      </c>
      <c r="D1371" s="18">
        <v>2</v>
      </c>
      <c r="E1371" s="15">
        <v>5956</v>
      </c>
      <c r="F1371" s="23" t="s">
        <v>2953</v>
      </c>
      <c r="G1371" s="18" t="s">
        <v>519</v>
      </c>
      <c r="H1371" s="18">
        <v>73072980</v>
      </c>
      <c r="I1371" s="17">
        <v>0.18</v>
      </c>
      <c r="J1371" s="18" t="s">
        <v>2657</v>
      </c>
    </row>
    <row r="1372" spans="1:10" ht="13" x14ac:dyDescent="0.3">
      <c r="A1372" s="34" t="s">
        <v>451</v>
      </c>
      <c r="B1372" s="23" t="s">
        <v>2527</v>
      </c>
      <c r="C1372" s="13" t="s">
        <v>1399</v>
      </c>
      <c r="D1372" s="18">
        <v>2</v>
      </c>
      <c r="E1372" s="15">
        <v>5850</v>
      </c>
      <c r="F1372" s="23" t="s">
        <v>2953</v>
      </c>
      <c r="G1372" s="18" t="s">
        <v>519</v>
      </c>
      <c r="H1372" s="18">
        <v>73072980</v>
      </c>
      <c r="I1372" s="17">
        <v>0.18</v>
      </c>
      <c r="J1372" s="18" t="s">
        <v>2657</v>
      </c>
    </row>
    <row r="1373" spans="1:10" ht="13" x14ac:dyDescent="0.3">
      <c r="A1373" s="34" t="s">
        <v>452</v>
      </c>
      <c r="B1373" s="23" t="s">
        <v>2527</v>
      </c>
      <c r="C1373" s="13" t="s">
        <v>1400</v>
      </c>
      <c r="D1373" s="18">
        <v>2</v>
      </c>
      <c r="E1373" s="15">
        <v>5888</v>
      </c>
      <c r="F1373" s="23" t="s">
        <v>2953</v>
      </c>
      <c r="G1373" s="18" t="s">
        <v>519</v>
      </c>
      <c r="H1373" s="18">
        <v>73072980</v>
      </c>
      <c r="I1373" s="17">
        <v>0.18</v>
      </c>
      <c r="J1373" s="18" t="s">
        <v>2657</v>
      </c>
    </row>
    <row r="1374" spans="1:10" ht="13" x14ac:dyDescent="0.3">
      <c r="A1374" s="34" t="s">
        <v>453</v>
      </c>
      <c r="B1374" s="23" t="s">
        <v>2527</v>
      </c>
      <c r="C1374" s="13" t="s">
        <v>1401</v>
      </c>
      <c r="D1374" s="18">
        <v>1</v>
      </c>
      <c r="E1374" s="15">
        <v>5704</v>
      </c>
      <c r="F1374" s="23" t="s">
        <v>2953</v>
      </c>
      <c r="G1374" s="18" t="s">
        <v>519</v>
      </c>
      <c r="H1374" s="18">
        <v>73072980</v>
      </c>
      <c r="I1374" s="17">
        <v>0.18</v>
      </c>
      <c r="J1374" s="18" t="s">
        <v>2657</v>
      </c>
    </row>
    <row r="1375" spans="1:10" ht="13" x14ac:dyDescent="0.3">
      <c r="A1375" s="34" t="s">
        <v>454</v>
      </c>
      <c r="B1375" s="23" t="s">
        <v>2527</v>
      </c>
      <c r="C1375" s="13" t="s">
        <v>2321</v>
      </c>
      <c r="D1375" s="18">
        <v>2</v>
      </c>
      <c r="E1375" s="15">
        <v>19129</v>
      </c>
      <c r="F1375" s="23" t="s">
        <v>2953</v>
      </c>
      <c r="G1375" s="18" t="s">
        <v>519</v>
      </c>
      <c r="H1375" s="18">
        <v>73072980</v>
      </c>
      <c r="I1375" s="17">
        <v>0.18</v>
      </c>
      <c r="J1375" s="18" t="s">
        <v>2657</v>
      </c>
    </row>
    <row r="1376" spans="1:10" ht="13" x14ac:dyDescent="0.3">
      <c r="A1376" s="34" t="s">
        <v>455</v>
      </c>
      <c r="B1376" s="23" t="s">
        <v>2527</v>
      </c>
      <c r="C1376" s="13" t="s">
        <v>2322</v>
      </c>
      <c r="D1376" s="18">
        <v>2</v>
      </c>
      <c r="E1376" s="15">
        <v>20652</v>
      </c>
      <c r="F1376" s="23" t="s">
        <v>2953</v>
      </c>
      <c r="G1376" s="18" t="s">
        <v>519</v>
      </c>
      <c r="H1376" s="18">
        <v>73072980</v>
      </c>
      <c r="I1376" s="17">
        <v>0.18</v>
      </c>
      <c r="J1376" s="18" t="s">
        <v>2657</v>
      </c>
    </row>
    <row r="1377" spans="1:10" ht="13" x14ac:dyDescent="0.3">
      <c r="A1377" s="34" t="s">
        <v>456</v>
      </c>
      <c r="B1377" s="23" t="s">
        <v>2527</v>
      </c>
      <c r="C1377" s="13" t="s">
        <v>2323</v>
      </c>
      <c r="D1377" s="18">
        <v>2</v>
      </c>
      <c r="E1377" s="15">
        <v>22155</v>
      </c>
      <c r="F1377" s="23" t="s">
        <v>2953</v>
      </c>
      <c r="G1377" s="18" t="s">
        <v>519</v>
      </c>
      <c r="H1377" s="18">
        <v>73072980</v>
      </c>
      <c r="I1377" s="17">
        <v>0.18</v>
      </c>
      <c r="J1377" s="18" t="s">
        <v>2657</v>
      </c>
    </row>
    <row r="1378" spans="1:10" ht="13" x14ac:dyDescent="0.3">
      <c r="A1378" s="34" t="s">
        <v>457</v>
      </c>
      <c r="B1378" s="23" t="s">
        <v>2527</v>
      </c>
      <c r="C1378" s="13" t="s">
        <v>2324</v>
      </c>
      <c r="D1378" s="18">
        <v>2</v>
      </c>
      <c r="E1378" s="15">
        <v>23901</v>
      </c>
      <c r="F1378" s="23" t="s">
        <v>2953</v>
      </c>
      <c r="G1378" s="18" t="s">
        <v>519</v>
      </c>
      <c r="H1378" s="18">
        <v>73072980</v>
      </c>
      <c r="I1378" s="17">
        <v>0.18</v>
      </c>
      <c r="J1378" s="18" t="s">
        <v>2657</v>
      </c>
    </row>
    <row r="1379" spans="1:10" ht="13" x14ac:dyDescent="0.3">
      <c r="A1379" s="34" t="s">
        <v>458</v>
      </c>
      <c r="B1379" s="23" t="s">
        <v>2527</v>
      </c>
      <c r="C1379" s="13" t="s">
        <v>2325</v>
      </c>
      <c r="D1379" s="18">
        <v>2</v>
      </c>
      <c r="E1379" s="15">
        <v>22873</v>
      </c>
      <c r="F1379" s="23" t="s">
        <v>2953</v>
      </c>
      <c r="G1379" s="18" t="s">
        <v>519</v>
      </c>
      <c r="H1379" s="18">
        <v>73072980</v>
      </c>
      <c r="I1379" s="17">
        <v>0.18</v>
      </c>
      <c r="J1379" s="18" t="s">
        <v>2657</v>
      </c>
    </row>
    <row r="1380" spans="1:10" ht="13" x14ac:dyDescent="0.3">
      <c r="A1380" s="34" t="s">
        <v>459</v>
      </c>
      <c r="B1380" s="23" t="s">
        <v>2527</v>
      </c>
      <c r="C1380" s="13" t="s">
        <v>2326</v>
      </c>
      <c r="D1380" s="18">
        <v>2</v>
      </c>
      <c r="E1380" s="15">
        <v>21127</v>
      </c>
      <c r="F1380" s="23" t="s">
        <v>2953</v>
      </c>
      <c r="G1380" s="18" t="s">
        <v>519</v>
      </c>
      <c r="H1380" s="18">
        <v>73072980</v>
      </c>
      <c r="I1380" s="17">
        <v>0.18</v>
      </c>
      <c r="J1380" s="18" t="s">
        <v>2657</v>
      </c>
    </row>
    <row r="1381" spans="1:10" ht="13" x14ac:dyDescent="0.3">
      <c r="A1381" s="34" t="s">
        <v>460</v>
      </c>
      <c r="B1381" s="23" t="s">
        <v>2527</v>
      </c>
      <c r="C1381" s="13" t="s">
        <v>2327</v>
      </c>
      <c r="D1381" s="18">
        <v>2</v>
      </c>
      <c r="E1381" s="15">
        <v>22698</v>
      </c>
      <c r="F1381" s="23" t="s">
        <v>2953</v>
      </c>
      <c r="G1381" s="18" t="s">
        <v>519</v>
      </c>
      <c r="H1381" s="18">
        <v>73072980</v>
      </c>
      <c r="I1381" s="17">
        <v>0.18</v>
      </c>
      <c r="J1381" s="18" t="s">
        <v>2657</v>
      </c>
    </row>
    <row r="1382" spans="1:10" ht="13" x14ac:dyDescent="0.3">
      <c r="A1382" s="34" t="s">
        <v>461</v>
      </c>
      <c r="B1382" s="23" t="s">
        <v>2527</v>
      </c>
      <c r="C1382" s="13" t="s">
        <v>2328</v>
      </c>
      <c r="D1382" s="18">
        <v>2</v>
      </c>
      <c r="E1382" s="15">
        <v>24270</v>
      </c>
      <c r="F1382" s="23" t="s">
        <v>2953</v>
      </c>
      <c r="G1382" s="18" t="s">
        <v>519</v>
      </c>
      <c r="H1382" s="18">
        <v>73072980</v>
      </c>
      <c r="I1382" s="17">
        <v>0.18</v>
      </c>
      <c r="J1382" s="18" t="s">
        <v>2657</v>
      </c>
    </row>
    <row r="1383" spans="1:10" ht="13" x14ac:dyDescent="0.3">
      <c r="A1383" s="34" t="s">
        <v>462</v>
      </c>
      <c r="B1383" s="23" t="s">
        <v>2527</v>
      </c>
      <c r="C1383" s="13" t="s">
        <v>2329</v>
      </c>
      <c r="D1383" s="18">
        <v>2</v>
      </c>
      <c r="E1383" s="15">
        <v>26084</v>
      </c>
      <c r="F1383" s="23" t="s">
        <v>2953</v>
      </c>
      <c r="G1383" s="18" t="s">
        <v>519</v>
      </c>
      <c r="H1383" s="18">
        <v>73072980</v>
      </c>
      <c r="I1383" s="17">
        <v>0.18</v>
      </c>
      <c r="J1383" s="18" t="s">
        <v>2657</v>
      </c>
    </row>
    <row r="1384" spans="1:10" ht="13" x14ac:dyDescent="0.3">
      <c r="A1384" s="34" t="s">
        <v>463</v>
      </c>
      <c r="B1384" s="23" t="s">
        <v>2527</v>
      </c>
      <c r="C1384" s="13" t="s">
        <v>2330</v>
      </c>
      <c r="D1384" s="18">
        <v>2</v>
      </c>
      <c r="E1384" s="15">
        <v>26937</v>
      </c>
      <c r="F1384" s="23" t="s">
        <v>2953</v>
      </c>
      <c r="G1384" s="18" t="s">
        <v>519</v>
      </c>
      <c r="H1384" s="18">
        <v>73072980</v>
      </c>
      <c r="I1384" s="17">
        <v>0.18</v>
      </c>
      <c r="J1384" s="18" t="s">
        <v>2657</v>
      </c>
    </row>
    <row r="1385" spans="1:10" ht="13" x14ac:dyDescent="0.3">
      <c r="A1385" s="34" t="s">
        <v>464</v>
      </c>
      <c r="B1385" s="23" t="s">
        <v>2527</v>
      </c>
      <c r="C1385" s="13" t="s">
        <v>2331</v>
      </c>
      <c r="D1385" s="18">
        <v>2</v>
      </c>
      <c r="E1385" s="15">
        <v>26937</v>
      </c>
      <c r="F1385" s="23" t="s">
        <v>2953</v>
      </c>
      <c r="G1385" s="18" t="s">
        <v>519</v>
      </c>
      <c r="H1385" s="18">
        <v>73072980</v>
      </c>
      <c r="I1385" s="17">
        <v>0.18</v>
      </c>
      <c r="J1385" s="18" t="s">
        <v>2657</v>
      </c>
    </row>
    <row r="1386" spans="1:10" ht="13" x14ac:dyDescent="0.3">
      <c r="A1386" s="34" t="s">
        <v>465</v>
      </c>
      <c r="B1386" s="23" t="s">
        <v>2527</v>
      </c>
      <c r="C1386" s="13" t="s">
        <v>1402</v>
      </c>
      <c r="D1386" s="18">
        <v>1</v>
      </c>
      <c r="E1386" s="15">
        <v>22687</v>
      </c>
      <c r="F1386" s="23" t="s">
        <v>2953</v>
      </c>
      <c r="G1386" s="18" t="s">
        <v>519</v>
      </c>
      <c r="H1386" s="18">
        <v>73072980</v>
      </c>
      <c r="I1386" s="17">
        <v>0.18</v>
      </c>
      <c r="J1386" s="18" t="s">
        <v>2657</v>
      </c>
    </row>
    <row r="1387" spans="1:10" ht="13" x14ac:dyDescent="0.3">
      <c r="A1387" s="34" t="s">
        <v>466</v>
      </c>
      <c r="B1387" s="23" t="s">
        <v>2527</v>
      </c>
      <c r="C1387" s="13" t="s">
        <v>1403</v>
      </c>
      <c r="D1387" s="18">
        <v>1</v>
      </c>
      <c r="E1387" s="15">
        <v>24059</v>
      </c>
      <c r="F1387" s="23" t="s">
        <v>2953</v>
      </c>
      <c r="G1387" s="18" t="s">
        <v>519</v>
      </c>
      <c r="H1387" s="18">
        <v>73072980</v>
      </c>
      <c r="I1387" s="17">
        <v>0.18</v>
      </c>
      <c r="J1387" s="18" t="s">
        <v>2657</v>
      </c>
    </row>
    <row r="1388" spans="1:10" ht="13" x14ac:dyDescent="0.3">
      <c r="A1388" s="34" t="s">
        <v>467</v>
      </c>
      <c r="B1388" s="23" t="s">
        <v>2527</v>
      </c>
      <c r="C1388" s="13" t="s">
        <v>1404</v>
      </c>
      <c r="D1388" s="18">
        <v>1</v>
      </c>
      <c r="E1388" s="15">
        <v>26353</v>
      </c>
      <c r="F1388" s="23" t="s">
        <v>2953</v>
      </c>
      <c r="G1388" s="18" t="s">
        <v>519</v>
      </c>
      <c r="H1388" s="18">
        <v>73072980</v>
      </c>
      <c r="I1388" s="17">
        <v>0.18</v>
      </c>
      <c r="J1388" s="18" t="s">
        <v>2657</v>
      </c>
    </row>
    <row r="1389" spans="1:10" ht="13" x14ac:dyDescent="0.3">
      <c r="A1389" s="34" t="s">
        <v>468</v>
      </c>
      <c r="B1389" s="23" t="s">
        <v>2527</v>
      </c>
      <c r="C1389" s="13" t="s">
        <v>1405</v>
      </c>
      <c r="D1389" s="18">
        <v>1</v>
      </c>
      <c r="E1389" s="15">
        <v>27509</v>
      </c>
      <c r="F1389" s="23" t="s">
        <v>2953</v>
      </c>
      <c r="G1389" s="18" t="s">
        <v>519</v>
      </c>
      <c r="H1389" s="18">
        <v>73072980</v>
      </c>
      <c r="I1389" s="17">
        <v>0.18</v>
      </c>
      <c r="J1389" s="18" t="s">
        <v>2657</v>
      </c>
    </row>
    <row r="1390" spans="1:10" ht="13" x14ac:dyDescent="0.3">
      <c r="A1390" s="34" t="s">
        <v>469</v>
      </c>
      <c r="B1390" s="23" t="s">
        <v>2527</v>
      </c>
      <c r="C1390" s="13" t="s">
        <v>1406</v>
      </c>
      <c r="D1390" s="18">
        <v>1</v>
      </c>
      <c r="E1390" s="15">
        <v>30264</v>
      </c>
      <c r="F1390" s="23" t="s">
        <v>2953</v>
      </c>
      <c r="G1390" s="18" t="s">
        <v>519</v>
      </c>
      <c r="H1390" s="18">
        <v>73072980</v>
      </c>
      <c r="I1390" s="17">
        <v>0.18</v>
      </c>
      <c r="J1390" s="18" t="s">
        <v>2657</v>
      </c>
    </row>
    <row r="1391" spans="1:10" ht="13" x14ac:dyDescent="0.3">
      <c r="A1391" s="34" t="s">
        <v>470</v>
      </c>
      <c r="B1391" s="23" t="s">
        <v>2527</v>
      </c>
      <c r="C1391" s="13" t="s">
        <v>2332</v>
      </c>
      <c r="D1391" s="18">
        <v>1</v>
      </c>
      <c r="E1391" s="15">
        <v>31399</v>
      </c>
      <c r="F1391" s="23" t="s">
        <v>2953</v>
      </c>
      <c r="G1391" s="18" t="s">
        <v>519</v>
      </c>
      <c r="H1391" s="18">
        <v>73072980</v>
      </c>
      <c r="I1391" s="17">
        <v>0.18</v>
      </c>
      <c r="J1391" s="18" t="s">
        <v>2657</v>
      </c>
    </row>
    <row r="1392" spans="1:10" ht="13" x14ac:dyDescent="0.3">
      <c r="A1392" s="34" t="s">
        <v>471</v>
      </c>
      <c r="B1392" s="23" t="s">
        <v>2527</v>
      </c>
      <c r="C1392" s="13" t="s">
        <v>2333</v>
      </c>
      <c r="D1392" s="18">
        <v>1</v>
      </c>
      <c r="E1392" s="15">
        <v>29964</v>
      </c>
      <c r="F1392" s="23" t="s">
        <v>2953</v>
      </c>
      <c r="G1392" s="18" t="s">
        <v>519</v>
      </c>
      <c r="H1392" s="18">
        <v>73072980</v>
      </c>
      <c r="I1392" s="17">
        <v>0.18</v>
      </c>
      <c r="J1392" s="18" t="s">
        <v>2657</v>
      </c>
    </row>
    <row r="1393" spans="1:10" ht="13" x14ac:dyDescent="0.3">
      <c r="A1393" s="34" t="s">
        <v>481</v>
      </c>
      <c r="B1393" s="23" t="s">
        <v>2528</v>
      </c>
      <c r="C1393" s="13" t="s">
        <v>1407</v>
      </c>
      <c r="D1393" s="18">
        <v>10</v>
      </c>
      <c r="E1393" s="15">
        <v>1000</v>
      </c>
      <c r="F1393" s="23" t="s">
        <v>2954</v>
      </c>
      <c r="G1393" s="18" t="s">
        <v>519</v>
      </c>
      <c r="H1393" s="18">
        <v>73072980</v>
      </c>
      <c r="I1393" s="17">
        <v>0.18</v>
      </c>
      <c r="J1393" s="18" t="s">
        <v>2657</v>
      </c>
    </row>
    <row r="1394" spans="1:10" ht="13" x14ac:dyDescent="0.3">
      <c r="A1394" s="34" t="s">
        <v>482</v>
      </c>
      <c r="B1394" s="23" t="s">
        <v>2528</v>
      </c>
      <c r="C1394" s="13" t="s">
        <v>1408</v>
      </c>
      <c r="D1394" s="18">
        <v>5</v>
      </c>
      <c r="E1394" s="15">
        <v>1640</v>
      </c>
      <c r="F1394" s="23" t="s">
        <v>2954</v>
      </c>
      <c r="G1394" s="18" t="s">
        <v>519</v>
      </c>
      <c r="H1394" s="18">
        <v>73072980</v>
      </c>
      <c r="I1394" s="17">
        <v>0.18</v>
      </c>
      <c r="J1394" s="18" t="s">
        <v>2657</v>
      </c>
    </row>
    <row r="1395" spans="1:10" ht="13" x14ac:dyDescent="0.3">
      <c r="A1395" s="34" t="s">
        <v>483</v>
      </c>
      <c r="B1395" s="23" t="s">
        <v>2528</v>
      </c>
      <c r="C1395" s="13" t="s">
        <v>1409</v>
      </c>
      <c r="D1395" s="18">
        <v>5</v>
      </c>
      <c r="E1395" s="15">
        <v>1194</v>
      </c>
      <c r="F1395" s="23" t="s">
        <v>2954</v>
      </c>
      <c r="G1395" s="18" t="s">
        <v>519</v>
      </c>
      <c r="H1395" s="18">
        <v>73072980</v>
      </c>
      <c r="I1395" s="17">
        <v>0.18</v>
      </c>
      <c r="J1395" s="18" t="s">
        <v>2657</v>
      </c>
    </row>
    <row r="1396" spans="1:10" ht="13" x14ac:dyDescent="0.3">
      <c r="A1396" s="34" t="s">
        <v>484</v>
      </c>
      <c r="B1396" s="23" t="s">
        <v>2528</v>
      </c>
      <c r="C1396" s="13" t="s">
        <v>1410</v>
      </c>
      <c r="D1396" s="18">
        <v>2</v>
      </c>
      <c r="E1396" s="15">
        <v>1446</v>
      </c>
      <c r="F1396" s="23" t="s">
        <v>2954</v>
      </c>
      <c r="G1396" s="18" t="s">
        <v>519</v>
      </c>
      <c r="H1396" s="18">
        <v>73072980</v>
      </c>
      <c r="I1396" s="17">
        <v>0.18</v>
      </c>
      <c r="J1396" s="18" t="s">
        <v>2657</v>
      </c>
    </row>
    <row r="1397" spans="1:10" ht="13" x14ac:dyDescent="0.3">
      <c r="A1397" s="34" t="s">
        <v>485</v>
      </c>
      <c r="B1397" s="23" t="s">
        <v>2528</v>
      </c>
      <c r="C1397" s="13" t="s">
        <v>1411</v>
      </c>
      <c r="D1397" s="18">
        <v>2</v>
      </c>
      <c r="E1397" s="15">
        <v>1805</v>
      </c>
      <c r="F1397" s="23" t="s">
        <v>2954</v>
      </c>
      <c r="G1397" s="18" t="s">
        <v>519</v>
      </c>
      <c r="H1397" s="18">
        <v>73072980</v>
      </c>
      <c r="I1397" s="17">
        <v>0.18</v>
      </c>
      <c r="J1397" s="18" t="s">
        <v>2657</v>
      </c>
    </row>
    <row r="1398" spans="1:10" ht="13" x14ac:dyDescent="0.3">
      <c r="A1398" s="34" t="s">
        <v>486</v>
      </c>
      <c r="B1398" s="23" t="s">
        <v>2528</v>
      </c>
      <c r="C1398" s="13" t="s">
        <v>1412</v>
      </c>
      <c r="D1398" s="18">
        <v>2</v>
      </c>
      <c r="E1398" s="15">
        <v>2755</v>
      </c>
      <c r="F1398" s="23" t="s">
        <v>2954</v>
      </c>
      <c r="G1398" s="18" t="s">
        <v>519</v>
      </c>
      <c r="H1398" s="18">
        <v>73072980</v>
      </c>
      <c r="I1398" s="17">
        <v>0.18</v>
      </c>
      <c r="J1398" s="18" t="s">
        <v>2657</v>
      </c>
    </row>
    <row r="1399" spans="1:10" ht="13" x14ac:dyDescent="0.3">
      <c r="A1399" s="34" t="s">
        <v>487</v>
      </c>
      <c r="B1399" s="23" t="s">
        <v>2528</v>
      </c>
      <c r="C1399" s="13" t="s">
        <v>1413</v>
      </c>
      <c r="D1399" s="18">
        <v>2</v>
      </c>
      <c r="E1399" s="15">
        <v>2319</v>
      </c>
      <c r="F1399" s="23" t="s">
        <v>2954</v>
      </c>
      <c r="G1399" s="18" t="s">
        <v>519</v>
      </c>
      <c r="H1399" s="18">
        <v>73072980</v>
      </c>
      <c r="I1399" s="17">
        <v>0.18</v>
      </c>
      <c r="J1399" s="18" t="s">
        <v>2657</v>
      </c>
    </row>
    <row r="1400" spans="1:10" ht="13" x14ac:dyDescent="0.3">
      <c r="A1400" s="34" t="s">
        <v>488</v>
      </c>
      <c r="B1400" s="23" t="s">
        <v>2528</v>
      </c>
      <c r="C1400" s="13" t="s">
        <v>1414</v>
      </c>
      <c r="D1400" s="18">
        <v>2</v>
      </c>
      <c r="E1400" s="15">
        <v>3783</v>
      </c>
      <c r="F1400" s="23" t="s">
        <v>2954</v>
      </c>
      <c r="G1400" s="18" t="s">
        <v>519</v>
      </c>
      <c r="H1400" s="18">
        <v>73072980</v>
      </c>
      <c r="I1400" s="17">
        <v>0.18</v>
      </c>
      <c r="J1400" s="18" t="s">
        <v>2657</v>
      </c>
    </row>
    <row r="1401" spans="1:10" ht="13" x14ac:dyDescent="0.3">
      <c r="A1401" s="34" t="s">
        <v>489</v>
      </c>
      <c r="B1401" s="23" t="s">
        <v>2528</v>
      </c>
      <c r="C1401" s="13" t="s">
        <v>1415</v>
      </c>
      <c r="D1401" s="18">
        <v>2</v>
      </c>
      <c r="E1401" s="15">
        <v>3929</v>
      </c>
      <c r="F1401" s="23" t="s">
        <v>2954</v>
      </c>
      <c r="G1401" s="18" t="s">
        <v>519</v>
      </c>
      <c r="H1401" s="18">
        <v>73072980</v>
      </c>
      <c r="I1401" s="17">
        <v>0.18</v>
      </c>
      <c r="J1401" s="18" t="s">
        <v>2657</v>
      </c>
    </row>
    <row r="1402" spans="1:10" ht="13" x14ac:dyDescent="0.3">
      <c r="A1402" s="34" t="s">
        <v>490</v>
      </c>
      <c r="B1402" s="23" t="s">
        <v>2528</v>
      </c>
      <c r="C1402" s="13" t="s">
        <v>1416</v>
      </c>
      <c r="D1402" s="18">
        <v>2</v>
      </c>
      <c r="E1402" s="15">
        <v>3225</v>
      </c>
      <c r="F1402" s="23" t="s">
        <v>2954</v>
      </c>
      <c r="G1402" s="18" t="s">
        <v>519</v>
      </c>
      <c r="H1402" s="18">
        <v>73072980</v>
      </c>
      <c r="I1402" s="17">
        <v>0.18</v>
      </c>
      <c r="J1402" s="18" t="s">
        <v>2657</v>
      </c>
    </row>
    <row r="1403" spans="1:10" ht="13" x14ac:dyDescent="0.3">
      <c r="A1403" s="34" t="s">
        <v>1417</v>
      </c>
      <c r="B1403" s="23" t="s">
        <v>2528</v>
      </c>
      <c r="C1403" s="13" t="s">
        <v>2334</v>
      </c>
      <c r="D1403" s="18">
        <v>1</v>
      </c>
      <c r="E1403" s="15" t="s">
        <v>2936</v>
      </c>
      <c r="F1403" s="23" t="s">
        <v>2954</v>
      </c>
      <c r="G1403" s="18" t="s">
        <v>519</v>
      </c>
      <c r="H1403" s="18">
        <v>73072980</v>
      </c>
      <c r="I1403" s="17">
        <v>0.18</v>
      </c>
      <c r="J1403" s="18" t="s">
        <v>2657</v>
      </c>
    </row>
    <row r="1404" spans="1:10" ht="13" x14ac:dyDescent="0.3">
      <c r="A1404" s="34" t="s">
        <v>491</v>
      </c>
      <c r="B1404" s="23" t="s">
        <v>2528</v>
      </c>
      <c r="C1404" s="13" t="s">
        <v>2335</v>
      </c>
      <c r="D1404" s="18">
        <v>1</v>
      </c>
      <c r="E1404" s="15">
        <v>13592</v>
      </c>
      <c r="F1404" s="23" t="s">
        <v>2954</v>
      </c>
      <c r="G1404" s="18" t="s">
        <v>519</v>
      </c>
      <c r="H1404" s="18">
        <v>73072980</v>
      </c>
      <c r="I1404" s="17">
        <v>0.18</v>
      </c>
      <c r="J1404" s="18" t="s">
        <v>2657</v>
      </c>
    </row>
    <row r="1405" spans="1:10" ht="13" x14ac:dyDescent="0.3">
      <c r="A1405" s="34" t="s">
        <v>492</v>
      </c>
      <c r="B1405" s="23" t="s">
        <v>2528</v>
      </c>
      <c r="C1405" s="13" t="s">
        <v>2336</v>
      </c>
      <c r="D1405" s="18">
        <v>2</v>
      </c>
      <c r="E1405" s="15">
        <v>8245</v>
      </c>
      <c r="F1405" s="23" t="s">
        <v>2954</v>
      </c>
      <c r="G1405" s="18" t="s">
        <v>519</v>
      </c>
      <c r="H1405" s="18">
        <v>73072980</v>
      </c>
      <c r="I1405" s="17">
        <v>0.18</v>
      </c>
      <c r="J1405" s="18" t="s">
        <v>2657</v>
      </c>
    </row>
    <row r="1406" spans="1:10" ht="13" x14ac:dyDescent="0.3">
      <c r="A1406" s="34" t="s">
        <v>493</v>
      </c>
      <c r="B1406" s="23" t="s">
        <v>2528</v>
      </c>
      <c r="C1406" s="13" t="s">
        <v>2337</v>
      </c>
      <c r="D1406" s="18">
        <v>1</v>
      </c>
      <c r="E1406" s="15" t="s">
        <v>2936</v>
      </c>
      <c r="F1406" s="23" t="s">
        <v>2954</v>
      </c>
      <c r="G1406" s="18" t="s">
        <v>519</v>
      </c>
      <c r="H1406" s="18">
        <v>73072980</v>
      </c>
      <c r="I1406" s="17">
        <v>0.18</v>
      </c>
      <c r="J1406" s="18" t="s">
        <v>2657</v>
      </c>
    </row>
    <row r="1407" spans="1:10" ht="13" x14ac:dyDescent="0.3">
      <c r="A1407" s="34" t="s">
        <v>494</v>
      </c>
      <c r="B1407" s="23" t="s">
        <v>2528</v>
      </c>
      <c r="C1407" s="13" t="s">
        <v>2338</v>
      </c>
      <c r="D1407" s="18">
        <v>2</v>
      </c>
      <c r="E1407" s="15">
        <v>9595</v>
      </c>
      <c r="F1407" s="23" t="s">
        <v>2954</v>
      </c>
      <c r="G1407" s="18" t="s">
        <v>519</v>
      </c>
      <c r="H1407" s="18">
        <v>73072980</v>
      </c>
      <c r="I1407" s="17">
        <v>0.18</v>
      </c>
      <c r="J1407" s="18" t="s">
        <v>2657</v>
      </c>
    </row>
    <row r="1408" spans="1:10" ht="13" x14ac:dyDescent="0.3">
      <c r="A1408" s="34" t="s">
        <v>495</v>
      </c>
      <c r="B1408" s="23" t="s">
        <v>2528</v>
      </c>
      <c r="C1408" s="13" t="s">
        <v>2339</v>
      </c>
      <c r="D1408" s="18">
        <v>2</v>
      </c>
      <c r="E1408" s="15">
        <v>10813</v>
      </c>
      <c r="F1408" s="23" t="s">
        <v>2954</v>
      </c>
      <c r="G1408" s="18" t="s">
        <v>519</v>
      </c>
      <c r="H1408" s="18">
        <v>73072980</v>
      </c>
      <c r="I1408" s="17">
        <v>0.18</v>
      </c>
      <c r="J1408" s="18" t="s">
        <v>2657</v>
      </c>
    </row>
    <row r="1409" spans="1:10" ht="13" x14ac:dyDescent="0.3">
      <c r="A1409" s="34" t="s">
        <v>496</v>
      </c>
      <c r="B1409" s="23" t="s">
        <v>2528</v>
      </c>
      <c r="C1409" s="13" t="s">
        <v>1418</v>
      </c>
      <c r="D1409" s="18">
        <v>1</v>
      </c>
      <c r="E1409" s="15" t="s">
        <v>2936</v>
      </c>
      <c r="F1409" s="23" t="s">
        <v>2954</v>
      </c>
      <c r="G1409" s="18" t="s">
        <v>519</v>
      </c>
      <c r="H1409" s="18">
        <v>73072980</v>
      </c>
      <c r="I1409" s="17">
        <v>0.18</v>
      </c>
      <c r="J1409" s="18" t="s">
        <v>2657</v>
      </c>
    </row>
    <row r="1410" spans="1:10" ht="13" x14ac:dyDescent="0.3">
      <c r="A1410" s="34" t="s">
        <v>497</v>
      </c>
      <c r="B1410" s="23" t="s">
        <v>2528</v>
      </c>
      <c r="C1410" s="13" t="s">
        <v>2340</v>
      </c>
      <c r="D1410" s="18">
        <v>2</v>
      </c>
      <c r="E1410" s="15">
        <v>12035</v>
      </c>
      <c r="F1410" s="23" t="s">
        <v>2954</v>
      </c>
      <c r="G1410" s="18" t="s">
        <v>519</v>
      </c>
      <c r="H1410" s="18">
        <v>73072980</v>
      </c>
      <c r="I1410" s="17">
        <v>0.18</v>
      </c>
      <c r="J1410" s="18" t="s">
        <v>2657</v>
      </c>
    </row>
    <row r="1411" spans="1:10" ht="13" x14ac:dyDescent="0.3">
      <c r="A1411" s="34" t="s">
        <v>498</v>
      </c>
      <c r="B1411" s="23" t="s">
        <v>2528</v>
      </c>
      <c r="C1411" s="13" t="s">
        <v>2341</v>
      </c>
      <c r="D1411" s="18">
        <v>2</v>
      </c>
      <c r="E1411" s="15">
        <v>13813</v>
      </c>
      <c r="F1411" s="23" t="s">
        <v>2954</v>
      </c>
      <c r="G1411" s="18" t="s">
        <v>519</v>
      </c>
      <c r="H1411" s="18">
        <v>73072980</v>
      </c>
      <c r="I1411" s="17">
        <v>0.18</v>
      </c>
      <c r="J1411" s="18" t="s">
        <v>2657</v>
      </c>
    </row>
    <row r="1412" spans="1:10" ht="13" x14ac:dyDescent="0.3">
      <c r="A1412" s="34" t="s">
        <v>472</v>
      </c>
      <c r="B1412" s="23" t="s">
        <v>2529</v>
      </c>
      <c r="C1412" s="13">
        <v>15</v>
      </c>
      <c r="D1412" s="18">
        <v>10</v>
      </c>
      <c r="E1412" s="15">
        <v>835</v>
      </c>
      <c r="F1412" s="23" t="s">
        <v>2955</v>
      </c>
      <c r="G1412" s="18" t="s">
        <v>519</v>
      </c>
      <c r="H1412" s="18">
        <v>73072980</v>
      </c>
      <c r="I1412" s="17">
        <v>0.18</v>
      </c>
      <c r="J1412" s="18" t="s">
        <v>2657</v>
      </c>
    </row>
    <row r="1413" spans="1:10" ht="13" x14ac:dyDescent="0.3">
      <c r="A1413" s="34" t="s">
        <v>473</v>
      </c>
      <c r="B1413" s="23" t="s">
        <v>2529</v>
      </c>
      <c r="C1413" s="13">
        <v>22</v>
      </c>
      <c r="D1413" s="18">
        <v>10</v>
      </c>
      <c r="E1413" s="15">
        <v>1058</v>
      </c>
      <c r="F1413" s="23" t="s">
        <v>2955</v>
      </c>
      <c r="G1413" s="18" t="s">
        <v>519</v>
      </c>
      <c r="H1413" s="18">
        <v>73072980</v>
      </c>
      <c r="I1413" s="17">
        <v>0.18</v>
      </c>
      <c r="J1413" s="18" t="s">
        <v>2657</v>
      </c>
    </row>
    <row r="1414" spans="1:10" ht="13" x14ac:dyDescent="0.3">
      <c r="A1414" s="34" t="s">
        <v>474</v>
      </c>
      <c r="B1414" s="23" t="s">
        <v>2529</v>
      </c>
      <c r="C1414" s="13">
        <v>28</v>
      </c>
      <c r="D1414" s="18">
        <v>5</v>
      </c>
      <c r="E1414" s="15">
        <v>1223</v>
      </c>
      <c r="F1414" s="23" t="s">
        <v>2955</v>
      </c>
      <c r="G1414" s="18" t="s">
        <v>519</v>
      </c>
      <c r="H1414" s="18">
        <v>73072980</v>
      </c>
      <c r="I1414" s="17">
        <v>0.18</v>
      </c>
      <c r="J1414" s="18" t="s">
        <v>2657</v>
      </c>
    </row>
    <row r="1415" spans="1:10" ht="13" x14ac:dyDescent="0.3">
      <c r="A1415" s="34" t="s">
        <v>475</v>
      </c>
      <c r="B1415" s="23" t="s">
        <v>2529</v>
      </c>
      <c r="C1415" s="13">
        <v>35</v>
      </c>
      <c r="D1415" s="18">
        <v>5</v>
      </c>
      <c r="E1415" s="15">
        <v>1523</v>
      </c>
      <c r="F1415" s="23" t="s">
        <v>2955</v>
      </c>
      <c r="G1415" s="18" t="s">
        <v>519</v>
      </c>
      <c r="H1415" s="18">
        <v>73072980</v>
      </c>
      <c r="I1415" s="17">
        <v>0.18</v>
      </c>
      <c r="J1415" s="18" t="s">
        <v>2657</v>
      </c>
    </row>
    <row r="1416" spans="1:10" ht="13" x14ac:dyDescent="0.3">
      <c r="A1416" s="34" t="s">
        <v>476</v>
      </c>
      <c r="B1416" s="23" t="s">
        <v>2529</v>
      </c>
      <c r="C1416" s="13">
        <v>42</v>
      </c>
      <c r="D1416" s="18">
        <v>2</v>
      </c>
      <c r="E1416" s="15">
        <v>2047</v>
      </c>
      <c r="F1416" s="23" t="s">
        <v>2955</v>
      </c>
      <c r="G1416" s="18" t="s">
        <v>519</v>
      </c>
      <c r="H1416" s="18">
        <v>73072980</v>
      </c>
      <c r="I1416" s="17">
        <v>0.18</v>
      </c>
      <c r="J1416" s="18" t="s">
        <v>2657</v>
      </c>
    </row>
    <row r="1417" spans="1:10" ht="13" x14ac:dyDescent="0.3">
      <c r="A1417" s="34" t="s">
        <v>477</v>
      </c>
      <c r="B1417" s="23" t="s">
        <v>2529</v>
      </c>
      <c r="C1417" s="13">
        <v>54</v>
      </c>
      <c r="D1417" s="18">
        <v>2</v>
      </c>
      <c r="E1417" s="15">
        <v>2445</v>
      </c>
      <c r="F1417" s="23" t="s">
        <v>2955</v>
      </c>
      <c r="G1417" s="18" t="s">
        <v>519</v>
      </c>
      <c r="H1417" s="18">
        <v>73072980</v>
      </c>
      <c r="I1417" s="17">
        <v>0.18</v>
      </c>
      <c r="J1417" s="18" t="s">
        <v>2657</v>
      </c>
    </row>
    <row r="1418" spans="1:10" ht="13" x14ac:dyDescent="0.3">
      <c r="A1418" s="34" t="s">
        <v>478</v>
      </c>
      <c r="B1418" s="23" t="s">
        <v>2529</v>
      </c>
      <c r="C1418" s="13">
        <v>76.099999999999994</v>
      </c>
      <c r="D1418" s="18">
        <v>2</v>
      </c>
      <c r="E1418" s="15">
        <v>15482</v>
      </c>
      <c r="F1418" s="23" t="s">
        <v>2955</v>
      </c>
      <c r="G1418" s="18" t="s">
        <v>519</v>
      </c>
      <c r="H1418" s="18">
        <v>73072980</v>
      </c>
      <c r="I1418" s="17">
        <v>0.18</v>
      </c>
      <c r="J1418" s="18" t="s">
        <v>2657</v>
      </c>
    </row>
    <row r="1419" spans="1:10" ht="13" x14ac:dyDescent="0.3">
      <c r="A1419" s="34" t="s">
        <v>479</v>
      </c>
      <c r="B1419" s="23" t="s">
        <v>2529</v>
      </c>
      <c r="C1419" s="13">
        <v>88.9</v>
      </c>
      <c r="D1419" s="18">
        <v>2</v>
      </c>
      <c r="E1419" s="15">
        <v>18605</v>
      </c>
      <c r="F1419" s="23" t="s">
        <v>2955</v>
      </c>
      <c r="G1419" s="18" t="s">
        <v>519</v>
      </c>
      <c r="H1419" s="18">
        <v>73072980</v>
      </c>
      <c r="I1419" s="17">
        <v>0.18</v>
      </c>
      <c r="J1419" s="18" t="s">
        <v>2657</v>
      </c>
    </row>
    <row r="1420" spans="1:10" ht="13" x14ac:dyDescent="0.3">
      <c r="A1420" s="34" t="s">
        <v>480</v>
      </c>
      <c r="B1420" s="23" t="s">
        <v>2529</v>
      </c>
      <c r="C1420" s="13">
        <v>108</v>
      </c>
      <c r="D1420" s="18">
        <v>2</v>
      </c>
      <c r="E1420" s="15">
        <v>26511</v>
      </c>
      <c r="F1420" s="23" t="s">
        <v>2955</v>
      </c>
      <c r="G1420" s="18" t="s">
        <v>519</v>
      </c>
      <c r="H1420" s="18">
        <v>73072980</v>
      </c>
      <c r="I1420" s="17">
        <v>0.18</v>
      </c>
      <c r="J1420" s="18" t="s">
        <v>2657</v>
      </c>
    </row>
    <row r="1421" spans="1:10" ht="13" x14ac:dyDescent="0.3">
      <c r="A1421" s="34" t="s">
        <v>499</v>
      </c>
      <c r="B1421" s="23" t="s">
        <v>108</v>
      </c>
      <c r="C1421" s="13">
        <v>15</v>
      </c>
      <c r="D1421" s="18">
        <v>10</v>
      </c>
      <c r="E1421" s="15">
        <v>1232</v>
      </c>
      <c r="F1421" s="23" t="s">
        <v>2956</v>
      </c>
      <c r="G1421" s="18" t="s">
        <v>519</v>
      </c>
      <c r="H1421" s="18">
        <v>73072980</v>
      </c>
      <c r="I1421" s="17">
        <v>0.18</v>
      </c>
      <c r="J1421" s="18" t="s">
        <v>2657</v>
      </c>
    </row>
    <row r="1422" spans="1:10" ht="13" x14ac:dyDescent="0.3">
      <c r="A1422" s="34" t="s">
        <v>500</v>
      </c>
      <c r="B1422" s="23" t="s">
        <v>108</v>
      </c>
      <c r="C1422" s="13">
        <v>22</v>
      </c>
      <c r="D1422" s="18">
        <v>10</v>
      </c>
      <c r="E1422" s="15">
        <v>1591</v>
      </c>
      <c r="F1422" s="23" t="s">
        <v>2956</v>
      </c>
      <c r="G1422" s="18" t="s">
        <v>519</v>
      </c>
      <c r="H1422" s="18">
        <v>73072980</v>
      </c>
      <c r="I1422" s="17">
        <v>0.18</v>
      </c>
      <c r="J1422" s="18" t="s">
        <v>2657</v>
      </c>
    </row>
    <row r="1423" spans="1:10" ht="13" x14ac:dyDescent="0.3">
      <c r="A1423" s="34" t="s">
        <v>501</v>
      </c>
      <c r="B1423" s="23" t="s">
        <v>108</v>
      </c>
      <c r="C1423" s="13">
        <v>28</v>
      </c>
      <c r="D1423" s="18">
        <v>5</v>
      </c>
      <c r="E1423" s="15">
        <v>1960</v>
      </c>
      <c r="F1423" s="23" t="s">
        <v>2956</v>
      </c>
      <c r="G1423" s="18" t="s">
        <v>519</v>
      </c>
      <c r="H1423" s="18">
        <v>73072980</v>
      </c>
      <c r="I1423" s="17">
        <v>0.18</v>
      </c>
      <c r="J1423" s="18" t="s">
        <v>2657</v>
      </c>
    </row>
    <row r="1424" spans="1:10" ht="13" x14ac:dyDescent="0.3">
      <c r="A1424" s="34" t="s">
        <v>502</v>
      </c>
      <c r="B1424" s="23" t="s">
        <v>108</v>
      </c>
      <c r="C1424" s="13">
        <v>35</v>
      </c>
      <c r="D1424" s="18">
        <v>1</v>
      </c>
      <c r="E1424" s="15">
        <v>2755</v>
      </c>
      <c r="F1424" s="23" t="s">
        <v>2956</v>
      </c>
      <c r="G1424" s="18" t="s">
        <v>519</v>
      </c>
      <c r="H1424" s="18">
        <v>73072980</v>
      </c>
      <c r="I1424" s="17">
        <v>0.18</v>
      </c>
      <c r="J1424" s="18" t="s">
        <v>2657</v>
      </c>
    </row>
    <row r="1425" spans="1:10" ht="13" x14ac:dyDescent="0.3">
      <c r="A1425" s="34" t="s">
        <v>503</v>
      </c>
      <c r="B1425" s="23" t="s">
        <v>108</v>
      </c>
      <c r="C1425" s="13">
        <v>42</v>
      </c>
      <c r="D1425" s="18">
        <v>1</v>
      </c>
      <c r="E1425" s="15">
        <v>5937</v>
      </c>
      <c r="F1425" s="23" t="s">
        <v>2956</v>
      </c>
      <c r="G1425" s="18" t="s">
        <v>519</v>
      </c>
      <c r="H1425" s="18">
        <v>73072980</v>
      </c>
      <c r="I1425" s="17">
        <v>0.18</v>
      </c>
      <c r="J1425" s="18" t="s">
        <v>2657</v>
      </c>
    </row>
    <row r="1426" spans="1:10" ht="13" x14ac:dyDescent="0.3">
      <c r="A1426" s="34" t="s">
        <v>504</v>
      </c>
      <c r="B1426" s="23" t="s">
        <v>108</v>
      </c>
      <c r="C1426" s="13">
        <v>54</v>
      </c>
      <c r="D1426" s="18">
        <v>1</v>
      </c>
      <c r="E1426" s="15">
        <v>5782</v>
      </c>
      <c r="F1426" s="23" t="s">
        <v>2956</v>
      </c>
      <c r="G1426" s="18" t="s">
        <v>519</v>
      </c>
      <c r="H1426" s="18">
        <v>73072980</v>
      </c>
      <c r="I1426" s="17">
        <v>0.18</v>
      </c>
      <c r="J1426" s="18" t="s">
        <v>2657</v>
      </c>
    </row>
    <row r="1427" spans="1:10" ht="13" x14ac:dyDescent="0.3">
      <c r="A1427" s="34" t="s">
        <v>505</v>
      </c>
      <c r="B1427" s="23" t="s">
        <v>108</v>
      </c>
      <c r="C1427" s="13">
        <v>76.099999999999994</v>
      </c>
      <c r="D1427" s="18">
        <v>1</v>
      </c>
      <c r="E1427" s="15">
        <v>8527</v>
      </c>
      <c r="F1427" s="23" t="s">
        <v>2956</v>
      </c>
      <c r="G1427" s="18" t="s">
        <v>519</v>
      </c>
      <c r="H1427" s="18">
        <v>73072980</v>
      </c>
      <c r="I1427" s="17">
        <v>0.18</v>
      </c>
      <c r="J1427" s="18" t="s">
        <v>2657</v>
      </c>
    </row>
    <row r="1428" spans="1:10" ht="13" x14ac:dyDescent="0.3">
      <c r="A1428" s="34" t="s">
        <v>506</v>
      </c>
      <c r="B1428" s="23" t="s">
        <v>108</v>
      </c>
      <c r="C1428" s="13">
        <v>88.9</v>
      </c>
      <c r="D1428" s="18">
        <v>1</v>
      </c>
      <c r="E1428" s="15">
        <v>9526</v>
      </c>
      <c r="F1428" s="23" t="s">
        <v>2956</v>
      </c>
      <c r="G1428" s="18" t="s">
        <v>519</v>
      </c>
      <c r="H1428" s="18">
        <v>73072980</v>
      </c>
      <c r="I1428" s="17">
        <v>0.18</v>
      </c>
      <c r="J1428" s="18" t="s">
        <v>2657</v>
      </c>
    </row>
    <row r="1429" spans="1:10" ht="13" x14ac:dyDescent="0.3">
      <c r="A1429" s="34" t="s">
        <v>507</v>
      </c>
      <c r="B1429" s="23" t="s">
        <v>108</v>
      </c>
      <c r="C1429" s="13">
        <v>108</v>
      </c>
      <c r="D1429" s="18">
        <v>1</v>
      </c>
      <c r="E1429" s="15">
        <v>12461</v>
      </c>
      <c r="F1429" s="23" t="s">
        <v>2956</v>
      </c>
      <c r="G1429" s="18" t="s">
        <v>519</v>
      </c>
      <c r="H1429" s="18">
        <v>73072980</v>
      </c>
      <c r="I1429" s="17">
        <v>0.18</v>
      </c>
      <c r="J1429" s="18" t="s">
        <v>2657</v>
      </c>
    </row>
    <row r="1430" spans="1:10" ht="13" x14ac:dyDescent="0.3">
      <c r="A1430" s="34" t="s">
        <v>2959</v>
      </c>
      <c r="B1430" s="23" t="s">
        <v>2967</v>
      </c>
      <c r="C1430" s="13">
        <v>22</v>
      </c>
      <c r="D1430" s="18">
        <v>1</v>
      </c>
      <c r="E1430" s="15">
        <v>11847</v>
      </c>
      <c r="F1430" s="23" t="s">
        <v>2968</v>
      </c>
      <c r="G1430" s="18" t="s">
        <v>519</v>
      </c>
      <c r="H1430" s="18">
        <v>73072980</v>
      </c>
      <c r="I1430" s="17">
        <v>0.18</v>
      </c>
      <c r="J1430" s="18" t="s">
        <v>2657</v>
      </c>
    </row>
    <row r="1431" spans="1:10" ht="13" x14ac:dyDescent="0.3">
      <c r="A1431" s="34" t="s">
        <v>2960</v>
      </c>
      <c r="B1431" s="23" t="s">
        <v>2967</v>
      </c>
      <c r="C1431" s="13">
        <v>28</v>
      </c>
      <c r="D1431" s="18">
        <v>1</v>
      </c>
      <c r="E1431" s="15">
        <v>14374</v>
      </c>
      <c r="F1431" s="23" t="s">
        <v>2968</v>
      </c>
      <c r="G1431" s="18" t="s">
        <v>519</v>
      </c>
      <c r="H1431" s="18">
        <v>73072980</v>
      </c>
      <c r="I1431" s="17">
        <v>0.18</v>
      </c>
      <c r="J1431" s="18" t="s">
        <v>2657</v>
      </c>
    </row>
    <row r="1432" spans="1:10" ht="13" x14ac:dyDescent="0.3">
      <c r="A1432" s="34" t="s">
        <v>2961</v>
      </c>
      <c r="B1432" s="23" t="s">
        <v>2967</v>
      </c>
      <c r="C1432" s="13">
        <v>35</v>
      </c>
      <c r="D1432" s="18">
        <v>1</v>
      </c>
      <c r="E1432" s="15">
        <v>15162</v>
      </c>
      <c r="F1432" s="23" t="s">
        <v>2968</v>
      </c>
      <c r="G1432" s="18" t="s">
        <v>519</v>
      </c>
      <c r="H1432" s="18">
        <v>73072980</v>
      </c>
      <c r="I1432" s="17">
        <v>0.18</v>
      </c>
      <c r="J1432" s="18" t="s">
        <v>2657</v>
      </c>
    </row>
    <row r="1433" spans="1:10" ht="13" x14ac:dyDescent="0.3">
      <c r="A1433" s="34" t="s">
        <v>2962</v>
      </c>
      <c r="B1433" s="23" t="s">
        <v>2967</v>
      </c>
      <c r="C1433" s="13">
        <v>42</v>
      </c>
      <c r="D1433" s="18">
        <v>1</v>
      </c>
      <c r="E1433" s="15">
        <v>17765</v>
      </c>
      <c r="F1433" s="23" t="s">
        <v>2968</v>
      </c>
      <c r="G1433" s="18" t="s">
        <v>519</v>
      </c>
      <c r="H1433" s="18">
        <v>73072980</v>
      </c>
      <c r="I1433" s="17">
        <v>0.18</v>
      </c>
      <c r="J1433" s="18" t="s">
        <v>2657</v>
      </c>
    </row>
    <row r="1434" spans="1:10" ht="13" x14ac:dyDescent="0.3">
      <c r="A1434" s="34" t="s">
        <v>2963</v>
      </c>
      <c r="B1434" s="23" t="s">
        <v>2967</v>
      </c>
      <c r="C1434" s="13">
        <v>54</v>
      </c>
      <c r="D1434" s="18">
        <v>1</v>
      </c>
      <c r="E1434" s="15">
        <v>19941</v>
      </c>
      <c r="F1434" s="23" t="s">
        <v>2968</v>
      </c>
      <c r="G1434" s="18" t="s">
        <v>519</v>
      </c>
      <c r="H1434" s="18">
        <v>73072980</v>
      </c>
      <c r="I1434" s="17">
        <v>0.18</v>
      </c>
      <c r="J1434" s="18" t="s">
        <v>2657</v>
      </c>
    </row>
    <row r="1435" spans="1:10" ht="13" x14ac:dyDescent="0.3">
      <c r="A1435" s="34" t="s">
        <v>2964</v>
      </c>
      <c r="B1435" s="23" t="s">
        <v>2967</v>
      </c>
      <c r="C1435" s="13">
        <v>76</v>
      </c>
      <c r="D1435" s="18">
        <v>1</v>
      </c>
      <c r="E1435" s="15">
        <v>29324</v>
      </c>
      <c r="F1435" s="23" t="s">
        <v>2968</v>
      </c>
      <c r="G1435" s="18" t="s">
        <v>519</v>
      </c>
      <c r="H1435" s="18">
        <v>73072980</v>
      </c>
      <c r="I1435" s="17">
        <v>0.18</v>
      </c>
      <c r="J1435" s="18" t="s">
        <v>2657</v>
      </c>
    </row>
    <row r="1436" spans="1:10" ht="13" x14ac:dyDescent="0.3">
      <c r="A1436" s="34" t="s">
        <v>2965</v>
      </c>
      <c r="B1436" s="23" t="s">
        <v>2967</v>
      </c>
      <c r="C1436" s="13">
        <v>89</v>
      </c>
      <c r="D1436" s="18">
        <v>1</v>
      </c>
      <c r="E1436" s="15">
        <v>34287</v>
      </c>
      <c r="F1436" s="23" t="s">
        <v>2968</v>
      </c>
      <c r="G1436" s="18" t="s">
        <v>519</v>
      </c>
      <c r="H1436" s="18">
        <v>73072980</v>
      </c>
      <c r="I1436" s="17">
        <v>0.18</v>
      </c>
      <c r="J1436" s="18" t="s">
        <v>2657</v>
      </c>
    </row>
    <row r="1437" spans="1:10" ht="13" x14ac:dyDescent="0.3">
      <c r="A1437" s="34" t="s">
        <v>2966</v>
      </c>
      <c r="B1437" s="23" t="s">
        <v>2967</v>
      </c>
      <c r="C1437" s="13">
        <v>108</v>
      </c>
      <c r="D1437" s="18">
        <v>1</v>
      </c>
      <c r="E1437" s="15">
        <v>43098</v>
      </c>
      <c r="F1437" s="23" t="s">
        <v>2968</v>
      </c>
      <c r="G1437" s="18" t="s">
        <v>519</v>
      </c>
      <c r="H1437" s="18">
        <v>73072980</v>
      </c>
      <c r="I1437" s="17">
        <v>0.18</v>
      </c>
      <c r="J1437" s="18" t="s">
        <v>2657</v>
      </c>
    </row>
    <row r="1438" spans="1:10" ht="26" x14ac:dyDescent="0.3">
      <c r="A1438" s="34" t="s">
        <v>1452</v>
      </c>
      <c r="B1438" s="32" t="s">
        <v>2342</v>
      </c>
      <c r="C1438" s="13" t="s">
        <v>537</v>
      </c>
      <c r="D1438" s="18">
        <v>1</v>
      </c>
      <c r="E1438" s="15">
        <v>84375</v>
      </c>
      <c r="F1438" s="23" t="s">
        <v>1459</v>
      </c>
      <c r="G1438" s="18" t="s">
        <v>1463</v>
      </c>
      <c r="H1438" s="18">
        <v>8467</v>
      </c>
      <c r="I1438" s="17">
        <v>0.18</v>
      </c>
      <c r="J1438" s="18" t="s">
        <v>2683</v>
      </c>
    </row>
    <row r="1439" spans="1:10" ht="13" x14ac:dyDescent="0.3">
      <c r="A1439" s="34" t="s">
        <v>538</v>
      </c>
      <c r="B1439" s="23" t="s">
        <v>1421</v>
      </c>
      <c r="C1439" s="13" t="s">
        <v>538</v>
      </c>
      <c r="D1439" s="18">
        <v>1</v>
      </c>
      <c r="E1439" s="15">
        <v>6688</v>
      </c>
      <c r="F1439" s="23" t="s">
        <v>1434</v>
      </c>
      <c r="G1439" s="18" t="s">
        <v>1434</v>
      </c>
      <c r="H1439" s="18">
        <v>8467</v>
      </c>
      <c r="I1439" s="17">
        <v>0.18</v>
      </c>
      <c r="J1439" s="18" t="s">
        <v>2933</v>
      </c>
    </row>
    <row r="1440" spans="1:10" ht="13" x14ac:dyDescent="0.3">
      <c r="A1440" s="34" t="s">
        <v>539</v>
      </c>
      <c r="B1440" s="23" t="s">
        <v>1422</v>
      </c>
      <c r="C1440" s="13" t="s">
        <v>539</v>
      </c>
      <c r="D1440" s="18">
        <v>1</v>
      </c>
      <c r="E1440" s="15">
        <v>6688</v>
      </c>
      <c r="F1440" s="23" t="s">
        <v>1434</v>
      </c>
      <c r="G1440" s="18" t="s">
        <v>1434</v>
      </c>
      <c r="H1440" s="18">
        <v>8467</v>
      </c>
      <c r="I1440" s="17">
        <v>0.18</v>
      </c>
      <c r="J1440" s="18" t="s">
        <v>2933</v>
      </c>
    </row>
    <row r="1441" spans="1:10" ht="13" x14ac:dyDescent="0.3">
      <c r="A1441" s="34" t="s">
        <v>540</v>
      </c>
      <c r="B1441" s="23" t="s">
        <v>1423</v>
      </c>
      <c r="C1441" s="13" t="s">
        <v>540</v>
      </c>
      <c r="D1441" s="18">
        <v>1</v>
      </c>
      <c r="E1441" s="15">
        <v>6688</v>
      </c>
      <c r="F1441" s="23" t="s">
        <v>1434</v>
      </c>
      <c r="G1441" s="18" t="s">
        <v>1434</v>
      </c>
      <c r="H1441" s="18">
        <v>8467</v>
      </c>
      <c r="I1441" s="17">
        <v>0.18</v>
      </c>
      <c r="J1441" s="18" t="s">
        <v>2933</v>
      </c>
    </row>
    <row r="1442" spans="1:10" ht="13" x14ac:dyDescent="0.3">
      <c r="A1442" s="34" t="s">
        <v>541</v>
      </c>
      <c r="B1442" s="23" t="s">
        <v>1424</v>
      </c>
      <c r="C1442" s="13" t="s">
        <v>541</v>
      </c>
      <c r="D1442" s="18">
        <v>1</v>
      </c>
      <c r="E1442" s="15">
        <v>6688</v>
      </c>
      <c r="F1442" s="23" t="s">
        <v>1434</v>
      </c>
      <c r="G1442" s="18" t="s">
        <v>1434</v>
      </c>
      <c r="H1442" s="18">
        <v>8467</v>
      </c>
      <c r="I1442" s="17">
        <v>0.18</v>
      </c>
      <c r="J1442" s="18" t="s">
        <v>2933</v>
      </c>
    </row>
    <row r="1443" spans="1:10" ht="13" x14ac:dyDescent="0.3">
      <c r="A1443" s="34" t="s">
        <v>542</v>
      </c>
      <c r="B1443" s="23" t="s">
        <v>1425</v>
      </c>
      <c r="C1443" s="13" t="s">
        <v>542</v>
      </c>
      <c r="D1443" s="18">
        <v>1</v>
      </c>
      <c r="E1443" s="15">
        <v>8438</v>
      </c>
      <c r="F1443" s="23" t="s">
        <v>1434</v>
      </c>
      <c r="G1443" s="18" t="s">
        <v>1434</v>
      </c>
      <c r="H1443" s="18">
        <v>8467</v>
      </c>
      <c r="I1443" s="17">
        <v>0.18</v>
      </c>
      <c r="J1443" s="18" t="s">
        <v>2933</v>
      </c>
    </row>
    <row r="1444" spans="1:10" ht="13" x14ac:dyDescent="0.3">
      <c r="A1444" s="34" t="s">
        <v>1451</v>
      </c>
      <c r="B1444" s="23" t="s">
        <v>1450</v>
      </c>
      <c r="C1444" s="13" t="s">
        <v>1451</v>
      </c>
      <c r="D1444" s="18">
        <v>1</v>
      </c>
      <c r="E1444" s="15">
        <v>9856</v>
      </c>
      <c r="F1444" s="23" t="s">
        <v>1434</v>
      </c>
      <c r="G1444" s="18" t="s">
        <v>1434</v>
      </c>
      <c r="H1444" s="18">
        <v>8467</v>
      </c>
      <c r="I1444" s="17">
        <v>0.18</v>
      </c>
      <c r="J1444" s="18" t="s">
        <v>2933</v>
      </c>
    </row>
    <row r="1445" spans="1:10" ht="13" x14ac:dyDescent="0.3">
      <c r="A1445" s="34" t="s">
        <v>1453</v>
      </c>
      <c r="B1445" s="23" t="s">
        <v>1456</v>
      </c>
      <c r="C1445" s="13" t="s">
        <v>1453</v>
      </c>
      <c r="D1445" s="18">
        <v>1</v>
      </c>
      <c r="E1445" s="15">
        <v>11249</v>
      </c>
      <c r="F1445" s="23" t="s">
        <v>1434</v>
      </c>
      <c r="G1445" s="18" t="s">
        <v>1434</v>
      </c>
      <c r="H1445" s="18">
        <v>8467</v>
      </c>
      <c r="I1445" s="17">
        <v>0.18</v>
      </c>
      <c r="J1445" s="18" t="s">
        <v>2933</v>
      </c>
    </row>
    <row r="1446" spans="1:10" ht="13" x14ac:dyDescent="0.3">
      <c r="A1446" s="34" t="s">
        <v>1454</v>
      </c>
      <c r="B1446" s="23" t="s">
        <v>1457</v>
      </c>
      <c r="C1446" s="13" t="s">
        <v>1454</v>
      </c>
      <c r="D1446" s="18">
        <v>1</v>
      </c>
      <c r="E1446" s="15">
        <v>6728</v>
      </c>
      <c r="F1446" s="23" t="s">
        <v>1460</v>
      </c>
      <c r="G1446" s="18" t="s">
        <v>1462</v>
      </c>
      <c r="H1446" s="18">
        <v>8467</v>
      </c>
      <c r="I1446" s="17">
        <v>0.18</v>
      </c>
      <c r="J1446" s="18" t="s">
        <v>2934</v>
      </c>
    </row>
    <row r="1447" spans="1:10" ht="26" x14ac:dyDescent="0.3">
      <c r="A1447" s="34" t="s">
        <v>1455</v>
      </c>
      <c r="B1447" s="32" t="s">
        <v>2343</v>
      </c>
      <c r="C1447" s="13" t="s">
        <v>537</v>
      </c>
      <c r="D1447" s="18">
        <v>1</v>
      </c>
      <c r="E1447" s="15">
        <v>97000</v>
      </c>
      <c r="F1447" s="23" t="s">
        <v>1461</v>
      </c>
      <c r="G1447" s="18" t="s">
        <v>1464</v>
      </c>
      <c r="H1447" s="18">
        <v>8467</v>
      </c>
      <c r="I1447" s="17">
        <v>0.18</v>
      </c>
      <c r="J1447" s="18" t="s">
        <v>2683</v>
      </c>
    </row>
    <row r="1448" spans="1:10" ht="13" x14ac:dyDescent="0.3">
      <c r="A1448" s="34" t="s">
        <v>543</v>
      </c>
      <c r="B1448" s="23" t="s">
        <v>1426</v>
      </c>
      <c r="C1448" s="13" t="s">
        <v>543</v>
      </c>
      <c r="D1448" s="18">
        <v>1</v>
      </c>
      <c r="E1448" s="15">
        <v>8188</v>
      </c>
      <c r="F1448" s="23" t="s">
        <v>1434</v>
      </c>
      <c r="G1448" s="18" t="s">
        <v>1434</v>
      </c>
      <c r="H1448" s="18">
        <v>8467</v>
      </c>
      <c r="I1448" s="17">
        <v>0.18</v>
      </c>
      <c r="J1448" s="18" t="s">
        <v>2933</v>
      </c>
    </row>
    <row r="1449" spans="1:10" ht="13" x14ac:dyDescent="0.3">
      <c r="A1449" s="34" t="s">
        <v>544</v>
      </c>
      <c r="B1449" s="23" t="s">
        <v>1427</v>
      </c>
      <c r="C1449" s="13" t="s">
        <v>544</v>
      </c>
      <c r="D1449" s="18">
        <v>1</v>
      </c>
      <c r="E1449" s="15">
        <v>8188</v>
      </c>
      <c r="F1449" s="23" t="s">
        <v>1434</v>
      </c>
      <c r="G1449" s="18" t="s">
        <v>1434</v>
      </c>
      <c r="H1449" s="18">
        <v>8467</v>
      </c>
      <c r="I1449" s="17">
        <v>0.18</v>
      </c>
      <c r="J1449" s="18" t="s">
        <v>2933</v>
      </c>
    </row>
    <row r="1450" spans="1:10" ht="13" x14ac:dyDescent="0.3">
      <c r="A1450" s="34" t="s">
        <v>545</v>
      </c>
      <c r="B1450" s="23" t="s">
        <v>1428</v>
      </c>
      <c r="C1450" s="13" t="s">
        <v>545</v>
      </c>
      <c r="D1450" s="18">
        <v>1</v>
      </c>
      <c r="E1450" s="15">
        <v>8188</v>
      </c>
      <c r="F1450" s="23" t="s">
        <v>1433</v>
      </c>
      <c r="G1450" s="18" t="s">
        <v>1434</v>
      </c>
      <c r="H1450" s="18">
        <v>8467</v>
      </c>
      <c r="I1450" s="17">
        <v>0.18</v>
      </c>
      <c r="J1450" s="18" t="s">
        <v>2933</v>
      </c>
    </row>
    <row r="1451" spans="1:10" ht="13" x14ac:dyDescent="0.3">
      <c r="A1451" s="34" t="s">
        <v>546</v>
      </c>
      <c r="B1451" s="23" t="s">
        <v>1429</v>
      </c>
      <c r="C1451" s="13" t="s">
        <v>546</v>
      </c>
      <c r="D1451" s="18">
        <v>1</v>
      </c>
      <c r="E1451" s="15">
        <v>8188</v>
      </c>
      <c r="F1451" s="23" t="s">
        <v>1444</v>
      </c>
      <c r="G1451" s="18" t="s">
        <v>1434</v>
      </c>
      <c r="H1451" s="18">
        <v>8467</v>
      </c>
      <c r="I1451" s="17">
        <v>0.18</v>
      </c>
      <c r="J1451" s="18" t="s">
        <v>2933</v>
      </c>
    </row>
    <row r="1452" spans="1:10" ht="13" x14ac:dyDescent="0.3">
      <c r="A1452" s="34" t="s">
        <v>547</v>
      </c>
      <c r="B1452" s="23" t="s">
        <v>1430</v>
      </c>
      <c r="C1452" s="13" t="s">
        <v>547</v>
      </c>
      <c r="D1452" s="18">
        <v>1</v>
      </c>
      <c r="E1452" s="15">
        <v>10688</v>
      </c>
      <c r="F1452" s="23" t="s">
        <v>1444</v>
      </c>
      <c r="G1452" s="18" t="s">
        <v>1434</v>
      </c>
      <c r="H1452" s="18">
        <v>8467</v>
      </c>
      <c r="I1452" s="17">
        <v>0.18</v>
      </c>
      <c r="J1452" s="18" t="s">
        <v>2933</v>
      </c>
    </row>
    <row r="1453" spans="1:10" ht="13" x14ac:dyDescent="0.3">
      <c r="A1453" s="34" t="s">
        <v>548</v>
      </c>
      <c r="B1453" s="23" t="s">
        <v>1431</v>
      </c>
      <c r="C1453" s="13" t="s">
        <v>548</v>
      </c>
      <c r="D1453" s="18">
        <v>1</v>
      </c>
      <c r="E1453" s="15">
        <v>10688</v>
      </c>
      <c r="F1453" s="23" t="s">
        <v>1896</v>
      </c>
      <c r="G1453" s="18" t="s">
        <v>1434</v>
      </c>
      <c r="H1453" s="18">
        <v>8467</v>
      </c>
      <c r="I1453" s="17">
        <v>0.18</v>
      </c>
      <c r="J1453" s="18" t="s">
        <v>2933</v>
      </c>
    </row>
    <row r="1454" spans="1:10" ht="13" x14ac:dyDescent="0.3">
      <c r="A1454" s="34" t="s">
        <v>1465</v>
      </c>
      <c r="B1454" s="23" t="s">
        <v>2345</v>
      </c>
      <c r="C1454" s="13" t="s">
        <v>2344</v>
      </c>
      <c r="D1454" s="18">
        <v>1</v>
      </c>
      <c r="E1454" s="15">
        <v>2500</v>
      </c>
      <c r="F1454" s="23" t="s">
        <v>2344</v>
      </c>
      <c r="G1454" s="18" t="s">
        <v>2344</v>
      </c>
      <c r="H1454" s="18">
        <v>8467</v>
      </c>
      <c r="I1454" s="17">
        <v>0.18</v>
      </c>
      <c r="J1454" s="18" t="s">
        <v>2933</v>
      </c>
    </row>
    <row r="1455" spans="1:10" ht="13" x14ac:dyDescent="0.3">
      <c r="A1455" s="34" t="s">
        <v>1466</v>
      </c>
      <c r="B1455" s="23" t="s">
        <v>2347</v>
      </c>
      <c r="C1455" s="13" t="s">
        <v>2346</v>
      </c>
      <c r="D1455" s="18">
        <v>1</v>
      </c>
      <c r="E1455" s="15">
        <v>9375</v>
      </c>
      <c r="F1455" s="23" t="s">
        <v>2346</v>
      </c>
      <c r="G1455" s="18" t="s">
        <v>2346</v>
      </c>
      <c r="H1455" s="18">
        <v>8467</v>
      </c>
      <c r="I1455" s="17">
        <v>0.18</v>
      </c>
      <c r="J1455" s="18" t="s">
        <v>2346</v>
      </c>
    </row>
    <row r="1456" spans="1:10" ht="13" x14ac:dyDescent="0.3">
      <c r="A1456" s="34" t="s">
        <v>1895</v>
      </c>
      <c r="B1456" s="23" t="s">
        <v>1897</v>
      </c>
      <c r="C1456" s="13" t="s">
        <v>2348</v>
      </c>
      <c r="D1456" s="18">
        <v>1</v>
      </c>
      <c r="E1456" s="15">
        <v>5000</v>
      </c>
      <c r="F1456" s="23" t="s">
        <v>2348</v>
      </c>
      <c r="G1456" s="18" t="s">
        <v>2348</v>
      </c>
      <c r="H1456" s="18">
        <v>8467</v>
      </c>
      <c r="I1456" s="17">
        <v>0.18</v>
      </c>
      <c r="J1456" s="18" t="s">
        <v>2348</v>
      </c>
    </row>
    <row r="1457" spans="1:10" ht="13" x14ac:dyDescent="0.3">
      <c r="A1457" s="34" t="s">
        <v>1448</v>
      </c>
      <c r="B1457" s="23" t="s">
        <v>1432</v>
      </c>
      <c r="C1457" s="13" t="s">
        <v>1458</v>
      </c>
      <c r="D1457" s="18">
        <v>1</v>
      </c>
      <c r="E1457" s="15">
        <v>8750</v>
      </c>
      <c r="F1457" s="23" t="s">
        <v>2916</v>
      </c>
      <c r="G1457" s="18" t="s">
        <v>2916</v>
      </c>
      <c r="H1457" s="18">
        <v>8467</v>
      </c>
      <c r="I1457" s="17">
        <v>0.18</v>
      </c>
      <c r="J1457" s="18" t="s">
        <v>2916</v>
      </c>
    </row>
    <row r="1458" spans="1:10" ht="13" x14ac:dyDescent="0.3">
      <c r="A1458" s="34" t="s">
        <v>1447</v>
      </c>
      <c r="B1458" s="23" t="s">
        <v>2915</v>
      </c>
      <c r="C1458" s="13" t="s">
        <v>1458</v>
      </c>
      <c r="D1458" s="18">
        <v>1</v>
      </c>
      <c r="E1458" s="15">
        <v>8750</v>
      </c>
      <c r="F1458" s="23" t="s">
        <v>1458</v>
      </c>
      <c r="G1458" s="18" t="s">
        <v>1458</v>
      </c>
      <c r="H1458" s="18">
        <v>8467</v>
      </c>
      <c r="I1458" s="17">
        <v>0.18</v>
      </c>
      <c r="J1458" s="18" t="s">
        <v>1458</v>
      </c>
    </row>
    <row r="1459" spans="1:10" ht="13" x14ac:dyDescent="0.3">
      <c r="A1459" s="34" t="s">
        <v>2531</v>
      </c>
      <c r="B1459" s="33" t="s">
        <v>2539</v>
      </c>
      <c r="C1459" s="34" t="s">
        <v>2548</v>
      </c>
      <c r="D1459" s="18">
        <v>6</v>
      </c>
      <c r="E1459" s="15">
        <v>336</v>
      </c>
      <c r="F1459" s="23" t="s">
        <v>2548</v>
      </c>
      <c r="G1459" s="18" t="s">
        <v>2547</v>
      </c>
      <c r="H1459" s="18">
        <v>39172190</v>
      </c>
      <c r="I1459" s="17">
        <v>0.18</v>
      </c>
      <c r="J1459" s="18" t="s">
        <v>2935</v>
      </c>
    </row>
    <row r="1460" spans="1:10" ht="13" x14ac:dyDescent="0.3">
      <c r="A1460" s="34" t="s">
        <v>2532</v>
      </c>
      <c r="B1460" s="33" t="s">
        <v>2540</v>
      </c>
      <c r="C1460" s="34" t="s">
        <v>2548</v>
      </c>
      <c r="D1460" s="18">
        <v>6</v>
      </c>
      <c r="E1460" s="15">
        <v>550</v>
      </c>
      <c r="F1460" s="57" t="s">
        <v>2548</v>
      </c>
      <c r="G1460" s="18" t="s">
        <v>2547</v>
      </c>
      <c r="H1460" s="18">
        <v>39172190</v>
      </c>
      <c r="I1460" s="17">
        <v>0.18</v>
      </c>
      <c r="J1460" s="18" t="s">
        <v>2935</v>
      </c>
    </row>
    <row r="1461" spans="1:10" ht="13" x14ac:dyDescent="0.3">
      <c r="A1461" s="34" t="s">
        <v>2533</v>
      </c>
      <c r="B1461" s="33" t="s">
        <v>2541</v>
      </c>
      <c r="C1461" s="34" t="s">
        <v>2548</v>
      </c>
      <c r="D1461" s="18">
        <v>6</v>
      </c>
      <c r="E1461" s="15">
        <v>804</v>
      </c>
      <c r="F1461" s="57" t="s">
        <v>2548</v>
      </c>
      <c r="G1461" s="18" t="s">
        <v>2547</v>
      </c>
      <c r="H1461" s="18">
        <v>39172190</v>
      </c>
      <c r="I1461" s="17">
        <v>0.18</v>
      </c>
      <c r="J1461" s="18" t="s">
        <v>2935</v>
      </c>
    </row>
    <row r="1462" spans="1:10" ht="13" x14ac:dyDescent="0.3">
      <c r="A1462" s="34" t="s">
        <v>2534</v>
      </c>
      <c r="B1462" s="33" t="s">
        <v>2542</v>
      </c>
      <c r="C1462" s="34" t="s">
        <v>2548</v>
      </c>
      <c r="D1462" s="18">
        <v>6</v>
      </c>
      <c r="E1462" s="15">
        <v>1259</v>
      </c>
      <c r="F1462" s="57" t="s">
        <v>2548</v>
      </c>
      <c r="G1462" s="18" t="s">
        <v>2547</v>
      </c>
      <c r="H1462" s="18">
        <v>39172190</v>
      </c>
      <c r="I1462" s="17">
        <v>0.18</v>
      </c>
      <c r="J1462" s="18" t="s">
        <v>2935</v>
      </c>
    </row>
    <row r="1463" spans="1:10" ht="13" x14ac:dyDescent="0.3">
      <c r="A1463" s="34" t="s">
        <v>2535</v>
      </c>
      <c r="B1463" s="33" t="s">
        <v>2543</v>
      </c>
      <c r="C1463" s="34" t="s">
        <v>2548</v>
      </c>
      <c r="D1463" s="18">
        <v>6</v>
      </c>
      <c r="E1463" s="15">
        <v>1768</v>
      </c>
      <c r="F1463" s="57" t="s">
        <v>2548</v>
      </c>
      <c r="G1463" s="18" t="s">
        <v>2547</v>
      </c>
      <c r="H1463" s="18">
        <v>39172190</v>
      </c>
      <c r="I1463" s="17">
        <v>0.18</v>
      </c>
      <c r="J1463" s="18" t="s">
        <v>2935</v>
      </c>
    </row>
    <row r="1464" spans="1:10" ht="13" x14ac:dyDescent="0.3">
      <c r="A1464" s="34" t="s">
        <v>2536</v>
      </c>
      <c r="B1464" s="33" t="s">
        <v>2544</v>
      </c>
      <c r="C1464" s="34" t="s">
        <v>2548</v>
      </c>
      <c r="D1464" s="18">
        <v>6</v>
      </c>
      <c r="E1464" s="15">
        <v>2860</v>
      </c>
      <c r="F1464" s="57" t="s">
        <v>2548</v>
      </c>
      <c r="G1464" s="18" t="s">
        <v>2547</v>
      </c>
      <c r="H1464" s="18">
        <v>39172190</v>
      </c>
      <c r="I1464" s="17">
        <v>0.18</v>
      </c>
      <c r="J1464" s="18" t="s">
        <v>2935</v>
      </c>
    </row>
    <row r="1465" spans="1:10" ht="13" x14ac:dyDescent="0.3">
      <c r="A1465" s="34" t="s">
        <v>2537</v>
      </c>
      <c r="B1465" s="33" t="s">
        <v>2545</v>
      </c>
      <c r="C1465" s="34" t="s">
        <v>2548</v>
      </c>
      <c r="D1465" s="18">
        <v>6</v>
      </c>
      <c r="E1465" s="15">
        <v>5152</v>
      </c>
      <c r="F1465" s="57" t="s">
        <v>2548</v>
      </c>
      <c r="G1465" s="18" t="s">
        <v>2547</v>
      </c>
      <c r="H1465" s="18">
        <v>39172190</v>
      </c>
      <c r="I1465" s="17">
        <v>0.18</v>
      </c>
      <c r="J1465" s="18" t="s">
        <v>2935</v>
      </c>
    </row>
    <row r="1466" spans="1:10" ht="13" x14ac:dyDescent="0.3">
      <c r="A1466" s="34" t="s">
        <v>2538</v>
      </c>
      <c r="B1466" s="33" t="s">
        <v>2546</v>
      </c>
      <c r="C1466" s="34" t="s">
        <v>2548</v>
      </c>
      <c r="D1466" s="18">
        <v>6</v>
      </c>
      <c r="E1466" s="15">
        <v>8045</v>
      </c>
      <c r="F1466" s="57" t="s">
        <v>2548</v>
      </c>
      <c r="G1466" s="18" t="s">
        <v>2547</v>
      </c>
      <c r="H1466" s="18">
        <v>39172190</v>
      </c>
      <c r="I1466" s="17">
        <v>0.18</v>
      </c>
      <c r="J1466" s="18" t="s">
        <v>2935</v>
      </c>
    </row>
    <row r="1467" spans="1:10" ht="13" x14ac:dyDescent="0.3">
      <c r="A1467" s="34" t="s">
        <v>2469</v>
      </c>
      <c r="B1467" s="33" t="s">
        <v>2470</v>
      </c>
      <c r="C1467" s="19"/>
      <c r="D1467" s="19"/>
      <c r="E1467" s="15" t="s">
        <v>2471</v>
      </c>
      <c r="F1467" s="58"/>
      <c r="G1467" s="19"/>
      <c r="H1467" s="35"/>
      <c r="I1467" s="35"/>
      <c r="J1467" s="19"/>
    </row>
    <row r="1468" spans="1:10" ht="13" x14ac:dyDescent="0.3">
      <c r="A1468" s="34" t="s">
        <v>2472</v>
      </c>
      <c r="B1468" s="33" t="s">
        <v>2473</v>
      </c>
      <c r="C1468" s="19"/>
      <c r="D1468" s="19"/>
      <c r="E1468" s="15" t="s">
        <v>2471</v>
      </c>
      <c r="F1468" s="58"/>
      <c r="G1468" s="19"/>
      <c r="H1468" s="35"/>
      <c r="I1468" s="35"/>
      <c r="J1468" s="19"/>
    </row>
    <row r="1469" spans="1:10" ht="13" x14ac:dyDescent="0.3">
      <c r="A1469" s="34" t="s">
        <v>2474</v>
      </c>
      <c r="B1469" s="33" t="s">
        <v>2475</v>
      </c>
      <c r="C1469" s="19"/>
      <c r="D1469" s="19"/>
      <c r="E1469" s="15" t="s">
        <v>2471</v>
      </c>
      <c r="F1469" s="58"/>
      <c r="G1469" s="19"/>
      <c r="H1469" s="35"/>
      <c r="I1469" s="35"/>
      <c r="J1469" s="19"/>
    </row>
    <row r="1470" spans="1:10" ht="15.5" x14ac:dyDescent="0.3">
      <c r="A1470" s="98"/>
    </row>
    <row r="1471" spans="1:10" ht="15.5" x14ac:dyDescent="0.3">
      <c r="A1471" s="98"/>
    </row>
    <row r="1472" spans="1:10" ht="15.5" x14ac:dyDescent="0.3">
      <c r="A1472" s="98"/>
    </row>
    <row r="1473" spans="1:1" ht="15.5" x14ac:dyDescent="0.3">
      <c r="A1473" s="98"/>
    </row>
    <row r="1474" spans="1:1" ht="15.5" x14ac:dyDescent="0.3">
      <c r="A1474" s="98"/>
    </row>
    <row r="1475" spans="1:1" ht="15.5" x14ac:dyDescent="0.3">
      <c r="A1475" s="98"/>
    </row>
    <row r="1476" spans="1:1" ht="15.5" x14ac:dyDescent="0.3">
      <c r="A1476" s="98"/>
    </row>
    <row r="1477" spans="1:1" ht="15.5" x14ac:dyDescent="0.3">
      <c r="A1477" s="98"/>
    </row>
    <row r="1478" spans="1:1" ht="15.5" x14ac:dyDescent="0.3">
      <c r="A1478" s="98"/>
    </row>
    <row r="1479" spans="1:1" ht="15.5" x14ac:dyDescent="0.3">
      <c r="A1479" s="98"/>
    </row>
    <row r="1480" spans="1:1" ht="15.5" x14ac:dyDescent="0.3">
      <c r="A1480" s="98"/>
    </row>
    <row r="1481" spans="1:1" ht="15.5" x14ac:dyDescent="0.3">
      <c r="A1481" s="98"/>
    </row>
    <row r="1482" spans="1:1" ht="15.5" x14ac:dyDescent="0.3">
      <c r="A1482" s="98"/>
    </row>
    <row r="1483" spans="1:1" ht="15.5" x14ac:dyDescent="0.3">
      <c r="A1483" s="98"/>
    </row>
    <row r="1484" spans="1:1" ht="15.5" x14ac:dyDescent="0.3">
      <c r="A1484" s="98"/>
    </row>
    <row r="1485" spans="1:1" ht="15.5" x14ac:dyDescent="0.3">
      <c r="A1485" s="98"/>
    </row>
    <row r="1486" spans="1:1" ht="15.5" x14ac:dyDescent="0.3">
      <c r="A1486" s="98"/>
    </row>
    <row r="1487" spans="1:1" ht="15.5" x14ac:dyDescent="0.3">
      <c r="A1487" s="98"/>
    </row>
    <row r="1488" spans="1:1" ht="15.5" x14ac:dyDescent="0.3">
      <c r="A1488" s="98"/>
    </row>
    <row r="1489" spans="1:1" ht="15.5" x14ac:dyDescent="0.3">
      <c r="A1489" s="98"/>
    </row>
    <row r="1490" spans="1:1" ht="15.5" x14ac:dyDescent="0.3">
      <c r="A1490" s="98"/>
    </row>
    <row r="1491" spans="1:1" ht="15.5" x14ac:dyDescent="0.3">
      <c r="A1491" s="98"/>
    </row>
    <row r="1492" spans="1:1" ht="15.5" x14ac:dyDescent="0.3">
      <c r="A1492" s="98"/>
    </row>
    <row r="1493" spans="1:1" ht="15.5" x14ac:dyDescent="0.3">
      <c r="A1493" s="98"/>
    </row>
    <row r="1494" spans="1:1" ht="15.5" x14ac:dyDescent="0.3">
      <c r="A1494" s="98"/>
    </row>
    <row r="1495" spans="1:1" ht="15.5" x14ac:dyDescent="0.3">
      <c r="A1495" s="98"/>
    </row>
    <row r="1496" spans="1:1" ht="15.5" x14ac:dyDescent="0.3">
      <c r="A1496" s="98"/>
    </row>
    <row r="1497" spans="1:1" ht="15.5" x14ac:dyDescent="0.3">
      <c r="A1497" s="98"/>
    </row>
    <row r="1498" spans="1:1" ht="15.5" x14ac:dyDescent="0.3">
      <c r="A1498" s="98"/>
    </row>
    <row r="1499" spans="1:1" ht="15.5" x14ac:dyDescent="0.3">
      <c r="A1499" s="98"/>
    </row>
    <row r="1500" spans="1:1" ht="15.5" x14ac:dyDescent="0.3">
      <c r="A1500" s="98"/>
    </row>
    <row r="1501" spans="1:1" ht="15.5" x14ac:dyDescent="0.3">
      <c r="A1501" s="98"/>
    </row>
    <row r="1502" spans="1:1" ht="15.5" x14ac:dyDescent="0.3">
      <c r="A1502" s="98"/>
    </row>
    <row r="1503" spans="1:1" ht="15.5" x14ac:dyDescent="0.3">
      <c r="A1503" s="98"/>
    </row>
    <row r="1504" spans="1:1" ht="15.5" x14ac:dyDescent="0.3">
      <c r="A1504" s="98"/>
    </row>
    <row r="1505" spans="1:1" ht="15.5" x14ac:dyDescent="0.3">
      <c r="A1505" s="98"/>
    </row>
    <row r="1506" spans="1:1" ht="15.5" x14ac:dyDescent="0.3">
      <c r="A1506" s="98"/>
    </row>
    <row r="1507" spans="1:1" ht="15.5" x14ac:dyDescent="0.3">
      <c r="A1507" s="98"/>
    </row>
    <row r="1508" spans="1:1" ht="15.5" x14ac:dyDescent="0.3">
      <c r="A1508" s="98"/>
    </row>
    <row r="1509" spans="1:1" ht="15.5" x14ac:dyDescent="0.3">
      <c r="A1509" s="98"/>
    </row>
    <row r="1510" spans="1:1" ht="15.5" x14ac:dyDescent="0.3">
      <c r="A1510" s="98"/>
    </row>
    <row r="1511" spans="1:1" ht="15.5" x14ac:dyDescent="0.3">
      <c r="A1511" s="98"/>
    </row>
    <row r="1512" spans="1:1" ht="15.5" x14ac:dyDescent="0.3">
      <c r="A1512" s="98"/>
    </row>
    <row r="1513" spans="1:1" ht="15.5" x14ac:dyDescent="0.3">
      <c r="A1513" s="98"/>
    </row>
    <row r="1514" spans="1:1" ht="15.5" x14ac:dyDescent="0.3">
      <c r="A1514" s="98"/>
    </row>
    <row r="1515" spans="1:1" ht="15.5" x14ac:dyDescent="0.3">
      <c r="A1515" s="98"/>
    </row>
    <row r="1516" spans="1:1" ht="15.5" x14ac:dyDescent="0.3">
      <c r="A1516" s="98"/>
    </row>
    <row r="1517" spans="1:1" ht="15.5" x14ac:dyDescent="0.3">
      <c r="A1517" s="98"/>
    </row>
    <row r="1518" spans="1:1" ht="15.5" x14ac:dyDescent="0.3">
      <c r="A1518" s="98"/>
    </row>
    <row r="1519" spans="1:1" ht="15.5" x14ac:dyDescent="0.3">
      <c r="A1519" s="98"/>
    </row>
    <row r="1520" spans="1:1" ht="15.5" x14ac:dyDescent="0.3">
      <c r="A1520" s="98"/>
    </row>
    <row r="1521" spans="1:1" ht="15.5" x14ac:dyDescent="0.3">
      <c r="A1521" s="98"/>
    </row>
    <row r="1522" spans="1:1" ht="15.5" x14ac:dyDescent="0.3">
      <c r="A1522" s="98"/>
    </row>
    <row r="1523" spans="1:1" ht="15.5" x14ac:dyDescent="0.3">
      <c r="A1523" s="98"/>
    </row>
  </sheetData>
  <sheetProtection algorithmName="SHA-512" hashValue="bXanmngu9teKPqbtTghsEZBBajF/V0tL+AD1SCSzd6N6LkJJW43LB2WONuXxWqhvo1JLkVqtGGDy4Mq7v1NorA==" saltValue="+dYgztlQWQzuvJuG4d68tg==" spinCount="100000" sheet="1" objects="1" scenarios="1" selectLockedCells="1"/>
  <autoFilter ref="A1:J1469" xr:uid="{00000000-0001-0000-0200-000000000000}"/>
  <phoneticPr fontId="31" type="noConversion"/>
  <conditionalFormatting sqref="A410:A411">
    <cfRule type="duplicateValues" dxfId="47" priority="43"/>
  </conditionalFormatting>
  <conditionalFormatting sqref="A1438:A1469">
    <cfRule type="duplicateValues" dxfId="46" priority="906"/>
  </conditionalFormatting>
  <conditionalFormatting sqref="A1470:A1048576 A1:A409 A412:A1437">
    <cfRule type="duplicateValues" dxfId="45" priority="893"/>
  </conditionalFormatting>
  <conditionalFormatting sqref="B349">
    <cfRule type="duplicateValues" dxfId="44" priority="77" stopIfTrue="1"/>
  </conditionalFormatting>
  <conditionalFormatting sqref="B350">
    <cfRule type="duplicateValues" dxfId="43" priority="76" stopIfTrue="1"/>
  </conditionalFormatting>
  <conditionalFormatting sqref="B15:C20">
    <cfRule type="containsText" dxfId="42" priority="93" operator="containsText" text="(S/Socket)">
      <formula>NOT(ISERROR(SEARCH("(S/Socket)",B15)))</formula>
    </cfRule>
    <cfRule type="containsText" dxfId="41" priority="94" operator="containsText" text="(D/Socket)">
      <formula>NOT(ISERROR(SEARCH("(D/Socket)",B15)))</formula>
    </cfRule>
  </conditionalFormatting>
  <conditionalFormatting sqref="C196">
    <cfRule type="duplicateValues" dxfId="40" priority="92" stopIfTrue="1"/>
  </conditionalFormatting>
  <conditionalFormatting sqref="C197">
    <cfRule type="duplicateValues" dxfId="39" priority="91" stopIfTrue="1"/>
  </conditionalFormatting>
  <conditionalFormatting sqref="C198">
    <cfRule type="duplicateValues" dxfId="38" priority="90" stopIfTrue="1"/>
  </conditionalFormatting>
  <conditionalFormatting sqref="C199">
    <cfRule type="duplicateValues" dxfId="37" priority="95" stopIfTrue="1"/>
  </conditionalFormatting>
  <conditionalFormatting sqref="C349">
    <cfRule type="duplicateValues" dxfId="36" priority="75" stopIfTrue="1"/>
  </conditionalFormatting>
  <conditionalFormatting sqref="C350">
    <cfRule type="duplicateValues" dxfId="35" priority="74" stopIfTrue="1"/>
  </conditionalFormatting>
  <conditionalFormatting sqref="C418">
    <cfRule type="duplicateValues" dxfId="34" priority="71" stopIfTrue="1"/>
  </conditionalFormatting>
  <conditionalFormatting sqref="C419">
    <cfRule type="duplicateValues" dxfId="33" priority="69" stopIfTrue="1"/>
  </conditionalFormatting>
  <conditionalFormatting sqref="C420:C421">
    <cfRule type="duplicateValues" dxfId="32" priority="72" stopIfTrue="1"/>
  </conditionalFormatting>
  <conditionalFormatting sqref="C422">
    <cfRule type="duplicateValues" dxfId="31" priority="67" stopIfTrue="1"/>
  </conditionalFormatting>
  <conditionalFormatting sqref="C423">
    <cfRule type="duplicateValues" dxfId="30" priority="895" stopIfTrue="1"/>
  </conditionalFormatting>
  <conditionalFormatting sqref="C424">
    <cfRule type="duplicateValues" dxfId="29" priority="66" stopIfTrue="1"/>
  </conditionalFormatting>
  <conditionalFormatting sqref="E2:E32">
    <cfRule type="containsText" dxfId="28" priority="31" operator="containsText" text="(S/Socket)">
      <formula>NOT(ISERROR(SEARCH("(S/Socket)",E2)))</formula>
    </cfRule>
    <cfRule type="containsText" dxfId="27" priority="32" operator="containsText" text="(D/Socket)">
      <formula>NOT(ISERROR(SEARCH("(D/Socket)",E2)))</formula>
    </cfRule>
  </conditionalFormatting>
  <conditionalFormatting sqref="E33:E44">
    <cfRule type="containsText" dxfId="26" priority="41" operator="containsText" text="(S/Socket)">
      <formula>NOT(ISERROR(SEARCH("(S/Socket)",E33)))</formula>
    </cfRule>
    <cfRule type="containsText" dxfId="25" priority="42" operator="containsText" text="(D/Socket)">
      <formula>NOT(ISERROR(SEARCH("(D/Socket)",E33)))</formula>
    </cfRule>
  </conditionalFormatting>
  <conditionalFormatting sqref="E35">
    <cfRule type="containsText" dxfId="24" priority="39" operator="containsText" text="(S/Socket)">
      <formula>NOT(ISERROR(SEARCH("(S/Socket)",E35)))</formula>
    </cfRule>
    <cfRule type="containsText" dxfId="23" priority="40" operator="containsText" text="(D/Socket)">
      <formula>NOT(ISERROR(SEARCH("(D/Socket)",E35)))</formula>
    </cfRule>
  </conditionalFormatting>
  <conditionalFormatting sqref="E45:E56">
    <cfRule type="containsText" dxfId="22" priority="33" operator="containsText" text="(S/Socket)">
      <formula>NOT(ISERROR(SEARCH("(S/Socket)",E45)))</formula>
    </cfRule>
    <cfRule type="containsText" dxfId="21" priority="34" operator="containsText" text="(D/Socket)">
      <formula>NOT(ISERROR(SEARCH("(D/Socket)",E45)))</formula>
    </cfRule>
  </conditionalFormatting>
  <conditionalFormatting sqref="E57:E68">
    <cfRule type="containsText" dxfId="20" priority="37" operator="containsText" text="(S/Socket)">
      <formula>NOT(ISERROR(SEARCH("(S/Socket)",E57)))</formula>
    </cfRule>
    <cfRule type="containsText" dxfId="19" priority="38" operator="containsText" text="(D/Socket)">
      <formula>NOT(ISERROR(SEARCH("(D/Socket)",E57)))</formula>
    </cfRule>
  </conditionalFormatting>
  <conditionalFormatting sqref="E59">
    <cfRule type="containsText" dxfId="18" priority="35" operator="containsText" text="(S/Socket)">
      <formula>NOT(ISERROR(SEARCH("(S/Socket)",E59)))</formula>
    </cfRule>
    <cfRule type="containsText" dxfId="17" priority="36" operator="containsText" text="(D/Socket)">
      <formula>NOT(ISERROR(SEARCH("(D/Socket)",E59)))</formula>
    </cfRule>
  </conditionalFormatting>
  <conditionalFormatting sqref="F354">
    <cfRule type="duplicateValues" dxfId="16" priority="2" stopIfTrue="1"/>
  </conditionalFormatting>
  <conditionalFormatting sqref="F355">
    <cfRule type="duplicateValues" dxfId="15" priority="1" stopIfTrue="1"/>
  </conditionalFormatting>
  <conditionalFormatting sqref="F356:F358">
    <cfRule type="duplicateValues" dxfId="14" priority="10" stopIfTrue="1"/>
  </conditionalFormatting>
  <conditionalFormatting sqref="F442">
    <cfRule type="duplicateValues" dxfId="13" priority="9" stopIfTrue="1"/>
  </conditionalFormatting>
  <conditionalFormatting sqref="F443">
    <cfRule type="duplicateValues" dxfId="12" priority="8" stopIfTrue="1"/>
  </conditionalFormatting>
  <conditionalFormatting sqref="F444">
    <cfRule type="duplicateValues" dxfId="11" priority="6" stopIfTrue="1"/>
  </conditionalFormatting>
  <conditionalFormatting sqref="F445">
    <cfRule type="duplicateValues" dxfId="10" priority="7" stopIfTrue="1"/>
  </conditionalFormatting>
  <conditionalFormatting sqref="F446">
    <cfRule type="duplicateValues" dxfId="9" priority="4" stopIfTrue="1"/>
  </conditionalFormatting>
  <conditionalFormatting sqref="F447">
    <cfRule type="duplicateValues" dxfId="8" priority="3" stopIfTrue="1"/>
  </conditionalFormatting>
  <conditionalFormatting sqref="F448:F449">
    <cfRule type="duplicateValues" dxfId="7" priority="5" stopIfTrue="1"/>
  </conditionalFormatting>
  <conditionalFormatting sqref="E418">
    <cfRule type="duplicateValues" dxfId="6" priority="914" stopIfTrue="1"/>
  </conditionalFormatting>
  <conditionalFormatting sqref="E419">
    <cfRule type="duplicateValues" dxfId="5" priority="915" stopIfTrue="1"/>
  </conditionalFormatting>
  <conditionalFormatting sqref="E420">
    <cfRule type="duplicateValues" dxfId="4" priority="916" stopIfTrue="1"/>
  </conditionalFormatting>
  <conditionalFormatting sqref="E421">
    <cfRule type="duplicateValues" dxfId="3" priority="917" stopIfTrue="1"/>
  </conditionalFormatting>
  <conditionalFormatting sqref="E422">
    <cfRule type="duplicateValues" dxfId="2" priority="918" stopIfTrue="1"/>
  </conditionalFormatting>
  <conditionalFormatting sqref="E423">
    <cfRule type="duplicateValues" dxfId="1" priority="919" stopIfTrue="1"/>
  </conditionalFormatting>
  <conditionalFormatting sqref="E424">
    <cfRule type="duplicateValues" dxfId="0" priority="920" stopIfTrue="1"/>
  </conditionalFormatting>
  <pageMargins left="0.7" right="0.7" top="0.75" bottom="0.75" header="0.3" footer="0.3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 Board</vt:lpstr>
      <vt:lpstr>Sales Order</vt:lpstr>
      <vt:lpstr>Data Validations</vt:lpstr>
      <vt:lpstr>Product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</dc:creator>
  <cp:lastModifiedBy>Rahul Adhikari</cp:lastModifiedBy>
  <dcterms:created xsi:type="dcterms:W3CDTF">2022-09-21T05:14:08Z</dcterms:created>
  <dcterms:modified xsi:type="dcterms:W3CDTF">2026-04-10T16:01:34Z</dcterms:modified>
</cp:coreProperties>
</file>